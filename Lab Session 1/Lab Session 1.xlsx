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D University\GitHub\Artificial-Intelligence-CS-323\Lab Session 1\"/>
    </mc:Choice>
  </mc:AlternateContent>
  <xr:revisionPtr revIDLastSave="0" documentId="13_ncr:1_{9AF5BA73-855B-4A27-A8E7-5AD51F37276E}" xr6:coauthVersionLast="47" xr6:coauthVersionMax="47" xr10:uidLastSave="{00000000-0000-0000-0000-000000000000}"/>
  <bookViews>
    <workbookView xWindow="-108" yWindow="-108" windowWidth="23256" windowHeight="12456" tabRatio="844" activeTab="6" xr2:uid="{26A035F0-FBB6-49CB-9627-A112974C9DEA}"/>
  </bookViews>
  <sheets>
    <sheet name="OR Gate Training" sheetId="2" r:id="rId1"/>
    <sheet name="3 IP OR Gate Training" sheetId="13" r:id="rId2"/>
    <sheet name="AND Gate Training" sheetId="1" r:id="rId3"/>
    <sheet name="3 IP AND Gate Training" sheetId="14" r:id="rId4"/>
    <sheet name="NAND Gate Training" sheetId="4" r:id="rId5"/>
    <sheet name="3 IP NAND Gate Training" sheetId="15" r:id="rId6"/>
    <sheet name="NOR Gate Training" sheetId="5" r:id="rId7"/>
    <sheet name="3 IP NOR Gate Training" sheetId="16" r:id="rId8"/>
    <sheet name="XOR Gate Training" sheetId="6" r:id="rId9"/>
    <sheet name="XNOR Gate Training" sheetId="7" r:id="rId10"/>
    <sheet name="Lab1Ex1(a)" sheetId="3" r:id="rId11"/>
    <sheet name="Lab1Ex1(b)" sheetId="10" r:id="rId12"/>
    <sheet name="Lab1Ex1(c)" sheetId="11" r:id="rId13"/>
    <sheet name="Lab1Ex1(d)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6" l="1"/>
  <c r="I34" i="16" s="1"/>
  <c r="J34" i="16" s="1"/>
  <c r="K34" i="16" s="1"/>
  <c r="G34" i="16"/>
  <c r="F34" i="16"/>
  <c r="H26" i="16"/>
  <c r="G26" i="16"/>
  <c r="F26" i="16"/>
  <c r="H18" i="16"/>
  <c r="I18" i="16" s="1"/>
  <c r="J18" i="16" s="1"/>
  <c r="K18" i="16" s="1"/>
  <c r="G18" i="16"/>
  <c r="F18" i="16"/>
  <c r="I2" i="16"/>
  <c r="J2" i="16" s="1"/>
  <c r="K2" i="16" s="1"/>
  <c r="H26" i="15"/>
  <c r="G26" i="15"/>
  <c r="F26" i="15"/>
  <c r="H18" i="15"/>
  <c r="G18" i="15"/>
  <c r="F18" i="15"/>
  <c r="I2" i="15"/>
  <c r="J2" i="15" s="1"/>
  <c r="K2" i="15" s="1"/>
  <c r="H26" i="14"/>
  <c r="G26" i="14"/>
  <c r="F26" i="14"/>
  <c r="H18" i="14"/>
  <c r="G18" i="14"/>
  <c r="F18" i="14"/>
  <c r="I2" i="14"/>
  <c r="J2" i="14" s="1"/>
  <c r="K2" i="14" s="1"/>
  <c r="I2" i="13"/>
  <c r="J2" i="13" s="1"/>
  <c r="K2" i="13" s="1"/>
  <c r="J2" i="2"/>
  <c r="H2" i="2"/>
  <c r="G2" i="2"/>
  <c r="G2" i="12"/>
  <c r="H2" i="12" s="1"/>
  <c r="I2" i="12" s="1"/>
  <c r="F54" i="11"/>
  <c r="E54" i="11"/>
  <c r="G2" i="11"/>
  <c r="H2" i="11" s="1"/>
  <c r="I2" i="11" s="1"/>
  <c r="G2" i="10"/>
  <c r="H2" i="10" s="1"/>
  <c r="I2" i="10" s="1"/>
  <c r="G49" i="6"/>
  <c r="H49" i="6" s="1"/>
  <c r="I49" i="6" s="1"/>
  <c r="G45" i="7"/>
  <c r="H45" i="7" s="1"/>
  <c r="I45" i="7" s="1"/>
  <c r="G22" i="7"/>
  <c r="H22" i="7" s="1"/>
  <c r="I22" i="7" s="1"/>
  <c r="G3" i="7"/>
  <c r="H3" i="7" s="1"/>
  <c r="I3" i="7" s="1"/>
  <c r="G3" i="6"/>
  <c r="H3" i="6" s="1"/>
  <c r="G26" i="6"/>
  <c r="H26" i="6" s="1"/>
  <c r="I26" i="6" s="1"/>
  <c r="G2" i="5"/>
  <c r="H2" i="5" s="1"/>
  <c r="I2" i="5" s="1"/>
  <c r="G2" i="4"/>
  <c r="H2" i="4" s="1"/>
  <c r="I2" i="4" s="1"/>
  <c r="G2" i="1"/>
  <c r="H2" i="1" s="1"/>
  <c r="I2" i="1" s="1"/>
  <c r="G2" i="3"/>
  <c r="H2" i="3" s="1"/>
  <c r="I2" i="3" s="1"/>
  <c r="I2" i="2"/>
  <c r="N34" i="16" l="1"/>
  <c r="H35" i="16" s="1"/>
  <c r="M34" i="16"/>
  <c r="G35" i="16" s="1"/>
  <c r="L34" i="16"/>
  <c r="F35" i="16" s="1"/>
  <c r="I26" i="16"/>
  <c r="J26" i="16" s="1"/>
  <c r="K26" i="16" s="1"/>
  <c r="N26" i="16" s="1"/>
  <c r="H27" i="16" s="1"/>
  <c r="L26" i="16"/>
  <c r="F27" i="16" s="1"/>
  <c r="N18" i="16"/>
  <c r="H19" i="16" s="1"/>
  <c r="M18" i="16"/>
  <c r="G19" i="16" s="1"/>
  <c r="L18" i="16"/>
  <c r="F19" i="16" s="1"/>
  <c r="L2" i="16"/>
  <c r="F3" i="16" s="1"/>
  <c r="N2" i="16"/>
  <c r="H3" i="16" s="1"/>
  <c r="M2" i="16"/>
  <c r="G3" i="16" s="1"/>
  <c r="I26" i="15"/>
  <c r="J26" i="15" s="1"/>
  <c r="K26" i="15" s="1"/>
  <c r="N26" i="15" s="1"/>
  <c r="H27" i="15" s="1"/>
  <c r="L26" i="15"/>
  <c r="F27" i="15" s="1"/>
  <c r="I18" i="15"/>
  <c r="J18" i="15" s="1"/>
  <c r="K18" i="15" s="1"/>
  <c r="N18" i="15" s="1"/>
  <c r="H19" i="15" s="1"/>
  <c r="L18" i="15"/>
  <c r="F19" i="15" s="1"/>
  <c r="N2" i="15"/>
  <c r="H3" i="15" s="1"/>
  <c r="M2" i="15"/>
  <c r="G3" i="15" s="1"/>
  <c r="L2" i="15"/>
  <c r="F3" i="15" s="1"/>
  <c r="I26" i="14"/>
  <c r="J26" i="14" s="1"/>
  <c r="K26" i="14" s="1"/>
  <c r="N26" i="14" s="1"/>
  <c r="H27" i="14" s="1"/>
  <c r="I18" i="14"/>
  <c r="J18" i="14" s="1"/>
  <c r="K18" i="14" s="1"/>
  <c r="N18" i="14" s="1"/>
  <c r="H19" i="14" s="1"/>
  <c r="L18" i="14"/>
  <c r="F19" i="14" s="1"/>
  <c r="N2" i="14"/>
  <c r="H3" i="14" s="1"/>
  <c r="M2" i="14"/>
  <c r="G3" i="14" s="1"/>
  <c r="L2" i="14"/>
  <c r="F3" i="14" s="1"/>
  <c r="M2" i="13"/>
  <c r="G3" i="13" s="1"/>
  <c r="N2" i="13"/>
  <c r="H3" i="13" s="1"/>
  <c r="L2" i="13"/>
  <c r="F3" i="13" s="1"/>
  <c r="K2" i="12"/>
  <c r="F3" i="12" s="1"/>
  <c r="J2" i="12"/>
  <c r="E3" i="12" s="1"/>
  <c r="G54" i="11"/>
  <c r="H54" i="11" s="1"/>
  <c r="I54" i="11" s="1"/>
  <c r="K54" i="11" s="1"/>
  <c r="F55" i="11" s="1"/>
  <c r="K2" i="11"/>
  <c r="F3" i="11" s="1"/>
  <c r="J2" i="11"/>
  <c r="E3" i="11" s="1"/>
  <c r="K2" i="10"/>
  <c r="F3" i="10" s="1"/>
  <c r="J2" i="10"/>
  <c r="E3" i="10" s="1"/>
  <c r="K2" i="2"/>
  <c r="F3" i="2" s="1"/>
  <c r="E3" i="2"/>
  <c r="K45" i="7"/>
  <c r="F46" i="7" s="1"/>
  <c r="J45" i="7"/>
  <c r="E46" i="7" s="1"/>
  <c r="G46" i="7" s="1"/>
  <c r="H46" i="7" s="1"/>
  <c r="I46" i="7" s="1"/>
  <c r="K46" i="7"/>
  <c r="F47" i="7" s="1"/>
  <c r="J46" i="7"/>
  <c r="E47" i="7" s="1"/>
  <c r="G47" i="7" s="1"/>
  <c r="H47" i="7" s="1"/>
  <c r="I47" i="7" s="1"/>
  <c r="K47" i="7"/>
  <c r="F48" i="7" s="1"/>
  <c r="K22" i="7"/>
  <c r="F23" i="7" s="1"/>
  <c r="J22" i="7"/>
  <c r="E23" i="7" s="1"/>
  <c r="K3" i="7"/>
  <c r="F4" i="7" s="1"/>
  <c r="J3" i="7"/>
  <c r="E4" i="7" s="1"/>
  <c r="K49" i="6"/>
  <c r="F50" i="6" s="1"/>
  <c r="J49" i="6"/>
  <c r="E50" i="6" s="1"/>
  <c r="K26" i="6"/>
  <c r="F27" i="6" s="1"/>
  <c r="J26" i="6"/>
  <c r="E27" i="6" s="1"/>
  <c r="K2" i="5"/>
  <c r="F3" i="5" s="1"/>
  <c r="J2" i="5"/>
  <c r="E3" i="5" s="1"/>
  <c r="K2" i="4"/>
  <c r="F3" i="4" s="1"/>
  <c r="J2" i="4"/>
  <c r="E3" i="4" s="1"/>
  <c r="G3" i="2"/>
  <c r="H3" i="2" s="1"/>
  <c r="I3" i="2" s="1"/>
  <c r="J3" i="2" s="1"/>
  <c r="E4" i="2" s="1"/>
  <c r="K2" i="1"/>
  <c r="F3" i="1" s="1"/>
  <c r="J2" i="1"/>
  <c r="E3" i="1" s="1"/>
  <c r="K2" i="3"/>
  <c r="F3" i="3" s="1"/>
  <c r="J2" i="3"/>
  <c r="E3" i="3" s="1"/>
  <c r="I35" i="16" l="1"/>
  <c r="J35" i="16" s="1"/>
  <c r="K35" i="16" s="1"/>
  <c r="N35" i="16" s="1"/>
  <c r="H36" i="16" s="1"/>
  <c r="M26" i="16"/>
  <c r="G27" i="16" s="1"/>
  <c r="I27" i="16" s="1"/>
  <c r="J27" i="16" s="1"/>
  <c r="K27" i="16" s="1"/>
  <c r="I19" i="16"/>
  <c r="J19" i="16" s="1"/>
  <c r="K19" i="16" s="1"/>
  <c r="N19" i="16" s="1"/>
  <c r="H20" i="16" s="1"/>
  <c r="I3" i="16"/>
  <c r="J3" i="16" s="1"/>
  <c r="K3" i="16" s="1"/>
  <c r="N3" i="16" s="1"/>
  <c r="H4" i="16" s="1"/>
  <c r="M26" i="15"/>
  <c r="G27" i="15" s="1"/>
  <c r="I27" i="15" s="1"/>
  <c r="J27" i="15" s="1"/>
  <c r="K27" i="15" s="1"/>
  <c r="M18" i="15"/>
  <c r="G19" i="15" s="1"/>
  <c r="I19" i="15" s="1"/>
  <c r="J19" i="15" s="1"/>
  <c r="K19" i="15" s="1"/>
  <c r="I3" i="15"/>
  <c r="J3" i="15" s="1"/>
  <c r="K3" i="15" s="1"/>
  <c r="L3" i="15" s="1"/>
  <c r="F4" i="15" s="1"/>
  <c r="L26" i="14"/>
  <c r="F27" i="14" s="1"/>
  <c r="M26" i="14"/>
  <c r="G27" i="14" s="1"/>
  <c r="M18" i="14"/>
  <c r="G19" i="14" s="1"/>
  <c r="I19" i="14" s="1"/>
  <c r="J19" i="14" s="1"/>
  <c r="K19" i="14" s="1"/>
  <c r="I3" i="14"/>
  <c r="J3" i="14" s="1"/>
  <c r="K3" i="14" s="1"/>
  <c r="L3" i="14" s="1"/>
  <c r="F4" i="14" s="1"/>
  <c r="N3" i="14"/>
  <c r="H4" i="14" s="1"/>
  <c r="I3" i="13"/>
  <c r="J3" i="13" s="1"/>
  <c r="K3" i="13" s="1"/>
  <c r="L3" i="13" s="1"/>
  <c r="F4" i="13" s="1"/>
  <c r="J47" i="7"/>
  <c r="E48" i="7" s="1"/>
  <c r="G3" i="12"/>
  <c r="H3" i="12" s="1"/>
  <c r="I3" i="12" s="1"/>
  <c r="J3" i="12" s="1"/>
  <c r="E4" i="12" s="1"/>
  <c r="J54" i="11"/>
  <c r="E55" i="11" s="1"/>
  <c r="G3" i="11"/>
  <c r="H3" i="11" s="1"/>
  <c r="I3" i="11" s="1"/>
  <c r="J3" i="11" s="1"/>
  <c r="E4" i="11" s="1"/>
  <c r="G3" i="10"/>
  <c r="H3" i="10" s="1"/>
  <c r="I3" i="10" s="1"/>
  <c r="J3" i="10" s="1"/>
  <c r="E4" i="10" s="1"/>
  <c r="G23" i="7"/>
  <c r="H23" i="7" s="1"/>
  <c r="I23" i="7" s="1"/>
  <c r="K23" i="7" s="1"/>
  <c r="F24" i="7" s="1"/>
  <c r="G4" i="7"/>
  <c r="H4" i="7" s="1"/>
  <c r="I4" i="7" s="1"/>
  <c r="J4" i="7" s="1"/>
  <c r="E5" i="7" s="1"/>
  <c r="K4" i="7"/>
  <c r="F5" i="7" s="1"/>
  <c r="G27" i="6"/>
  <c r="H27" i="6" s="1"/>
  <c r="I27" i="6" s="1"/>
  <c r="J27" i="6" s="1"/>
  <c r="E28" i="6" s="1"/>
  <c r="G3" i="5"/>
  <c r="H3" i="5" s="1"/>
  <c r="I3" i="5" s="1"/>
  <c r="J3" i="5" s="1"/>
  <c r="E4" i="5" s="1"/>
  <c r="G3" i="4"/>
  <c r="H3" i="4" s="1"/>
  <c r="I3" i="4" s="1"/>
  <c r="K3" i="4" s="1"/>
  <c r="F4" i="4" s="1"/>
  <c r="K3" i="2"/>
  <c r="F4" i="2" s="1"/>
  <c r="G4" i="2" s="1"/>
  <c r="H4" i="2" s="1"/>
  <c r="I4" i="2" s="1"/>
  <c r="J4" i="2" s="1"/>
  <c r="E5" i="2" s="1"/>
  <c r="G3" i="3"/>
  <c r="H3" i="3" s="1"/>
  <c r="I3" i="3" s="1"/>
  <c r="K3" i="3" s="1"/>
  <c r="F4" i="3" s="1"/>
  <c r="G3" i="1"/>
  <c r="H3" i="1" s="1"/>
  <c r="I3" i="1" s="1"/>
  <c r="J3" i="1" s="1"/>
  <c r="E4" i="1" s="1"/>
  <c r="L35" i="16" l="1"/>
  <c r="F36" i="16" s="1"/>
  <c r="M35" i="16"/>
  <c r="G36" i="16" s="1"/>
  <c r="N27" i="16"/>
  <c r="H28" i="16" s="1"/>
  <c r="M27" i="16"/>
  <c r="G28" i="16" s="1"/>
  <c r="L27" i="16"/>
  <c r="F28" i="16" s="1"/>
  <c r="L19" i="16"/>
  <c r="F20" i="16" s="1"/>
  <c r="M19" i="16"/>
  <c r="G20" i="16" s="1"/>
  <c r="L3" i="16"/>
  <c r="F4" i="16" s="1"/>
  <c r="M3" i="16"/>
  <c r="G4" i="16" s="1"/>
  <c r="N27" i="15"/>
  <c r="H28" i="15" s="1"/>
  <c r="M27" i="15"/>
  <c r="G28" i="15" s="1"/>
  <c r="L27" i="15"/>
  <c r="F28" i="15" s="1"/>
  <c r="N19" i="15"/>
  <c r="H20" i="15" s="1"/>
  <c r="M19" i="15"/>
  <c r="G20" i="15" s="1"/>
  <c r="L19" i="15"/>
  <c r="F20" i="15" s="1"/>
  <c r="M3" i="15"/>
  <c r="G4" i="15" s="1"/>
  <c r="N3" i="15"/>
  <c r="H4" i="15" s="1"/>
  <c r="I4" i="15"/>
  <c r="J4" i="15" s="1"/>
  <c r="K4" i="15" s="1"/>
  <c r="N4" i="15" s="1"/>
  <c r="H5" i="15" s="1"/>
  <c r="I27" i="14"/>
  <c r="J27" i="14" s="1"/>
  <c r="K27" i="14" s="1"/>
  <c r="N27" i="14" s="1"/>
  <c r="H28" i="14" s="1"/>
  <c r="N19" i="14"/>
  <c r="H20" i="14" s="1"/>
  <c r="M19" i="14"/>
  <c r="G20" i="14" s="1"/>
  <c r="L19" i="14"/>
  <c r="F20" i="14" s="1"/>
  <c r="M3" i="14"/>
  <c r="G4" i="14" s="1"/>
  <c r="I4" i="14"/>
  <c r="J4" i="14" s="1"/>
  <c r="K4" i="14" s="1"/>
  <c r="N4" i="14" s="1"/>
  <c r="H5" i="14" s="1"/>
  <c r="N3" i="13"/>
  <c r="H4" i="13" s="1"/>
  <c r="M3" i="13"/>
  <c r="G4" i="13" s="1"/>
  <c r="I4" i="13" s="1"/>
  <c r="J4" i="13" s="1"/>
  <c r="K4" i="13" s="1"/>
  <c r="G48" i="7"/>
  <c r="H48" i="7" s="1"/>
  <c r="I48" i="7" s="1"/>
  <c r="K48" i="7" s="1"/>
  <c r="J48" i="7"/>
  <c r="K3" i="12"/>
  <c r="F4" i="12" s="1"/>
  <c r="G4" i="12" s="1"/>
  <c r="H4" i="12" s="1"/>
  <c r="I4" i="12" s="1"/>
  <c r="K4" i="12" s="1"/>
  <c r="F5" i="12" s="1"/>
  <c r="G55" i="11"/>
  <c r="H55" i="11" s="1"/>
  <c r="I55" i="11" s="1"/>
  <c r="K55" i="11" s="1"/>
  <c r="F56" i="11" s="1"/>
  <c r="K3" i="11"/>
  <c r="F4" i="11" s="1"/>
  <c r="G4" i="11" s="1"/>
  <c r="H4" i="11" s="1"/>
  <c r="I4" i="11" s="1"/>
  <c r="K3" i="10"/>
  <c r="F4" i="10" s="1"/>
  <c r="G4" i="10" s="1"/>
  <c r="H4" i="10" s="1"/>
  <c r="I4" i="10" s="1"/>
  <c r="J4" i="10" s="1"/>
  <c r="E5" i="10" s="1"/>
  <c r="J23" i="7"/>
  <c r="E24" i="7" s="1"/>
  <c r="G5" i="7"/>
  <c r="H5" i="7" s="1"/>
  <c r="I5" i="7" s="1"/>
  <c r="J5" i="7" s="1"/>
  <c r="E6" i="7" s="1"/>
  <c r="K5" i="7"/>
  <c r="F6" i="7" s="1"/>
  <c r="K27" i="6"/>
  <c r="F28" i="6" s="1"/>
  <c r="G28" i="6"/>
  <c r="H28" i="6" s="1"/>
  <c r="I28" i="6" s="1"/>
  <c r="J28" i="6" s="1"/>
  <c r="E29" i="6" s="1"/>
  <c r="K3" i="5"/>
  <c r="F4" i="5" s="1"/>
  <c r="J3" i="4"/>
  <c r="E4" i="4" s="1"/>
  <c r="K4" i="2"/>
  <c r="F5" i="2" s="1"/>
  <c r="G5" i="2" s="1"/>
  <c r="H5" i="2" s="1"/>
  <c r="I5" i="2" s="1"/>
  <c r="K5" i="2" s="1"/>
  <c r="F6" i="2" s="1"/>
  <c r="J3" i="3"/>
  <c r="E4" i="3" s="1"/>
  <c r="G4" i="3" s="1"/>
  <c r="H4" i="3" s="1"/>
  <c r="I4" i="3" s="1"/>
  <c r="K4" i="3" s="1"/>
  <c r="F5" i="3" s="1"/>
  <c r="K3" i="1"/>
  <c r="F4" i="1" s="1"/>
  <c r="G4" i="1" s="1"/>
  <c r="H4" i="1" s="1"/>
  <c r="I4" i="1" s="1"/>
  <c r="K4" i="1" s="1"/>
  <c r="F5" i="1" s="1"/>
  <c r="I36" i="16" l="1"/>
  <c r="J36" i="16" s="1"/>
  <c r="K36" i="16" s="1"/>
  <c r="N36" i="16" s="1"/>
  <c r="H37" i="16" s="1"/>
  <c r="I28" i="16"/>
  <c r="J28" i="16" s="1"/>
  <c r="K28" i="16" s="1"/>
  <c r="N28" i="16"/>
  <c r="H29" i="16" s="1"/>
  <c r="M28" i="16"/>
  <c r="G29" i="16" s="1"/>
  <c r="L28" i="16"/>
  <c r="F29" i="16" s="1"/>
  <c r="I20" i="16"/>
  <c r="J20" i="16" s="1"/>
  <c r="K20" i="16" s="1"/>
  <c r="N20" i="16" s="1"/>
  <c r="H21" i="16" s="1"/>
  <c r="I4" i="16"/>
  <c r="J4" i="16" s="1"/>
  <c r="K4" i="16" s="1"/>
  <c r="N4" i="16" s="1"/>
  <c r="H5" i="16" s="1"/>
  <c r="I28" i="15"/>
  <c r="J28" i="15" s="1"/>
  <c r="K28" i="15" s="1"/>
  <c r="N28" i="15"/>
  <c r="H29" i="15" s="1"/>
  <c r="M28" i="15"/>
  <c r="G29" i="15" s="1"/>
  <c r="L28" i="15"/>
  <c r="F29" i="15" s="1"/>
  <c r="I20" i="15"/>
  <c r="J20" i="15" s="1"/>
  <c r="K20" i="15" s="1"/>
  <c r="N20" i="15"/>
  <c r="H21" i="15" s="1"/>
  <c r="M20" i="15"/>
  <c r="G21" i="15" s="1"/>
  <c r="L20" i="15"/>
  <c r="F21" i="15" s="1"/>
  <c r="L4" i="15"/>
  <c r="F5" i="15" s="1"/>
  <c r="M4" i="15"/>
  <c r="G5" i="15" s="1"/>
  <c r="L27" i="14"/>
  <c r="F28" i="14" s="1"/>
  <c r="M27" i="14"/>
  <c r="G28" i="14" s="1"/>
  <c r="I20" i="14"/>
  <c r="J20" i="14" s="1"/>
  <c r="K20" i="14" s="1"/>
  <c r="N20" i="14"/>
  <c r="H21" i="14" s="1"/>
  <c r="M20" i="14"/>
  <c r="G21" i="14" s="1"/>
  <c r="L20" i="14"/>
  <c r="F21" i="14" s="1"/>
  <c r="L4" i="14"/>
  <c r="F5" i="14" s="1"/>
  <c r="M4" i="14"/>
  <c r="G5" i="14" s="1"/>
  <c r="N4" i="13"/>
  <c r="H5" i="13" s="1"/>
  <c r="M4" i="13"/>
  <c r="G5" i="13" s="1"/>
  <c r="L4" i="13"/>
  <c r="F5" i="13" s="1"/>
  <c r="J4" i="12"/>
  <c r="E5" i="12" s="1"/>
  <c r="J55" i="11"/>
  <c r="E56" i="11" s="1"/>
  <c r="J4" i="11"/>
  <c r="E5" i="11" s="1"/>
  <c r="K4" i="11"/>
  <c r="F5" i="11" s="1"/>
  <c r="K4" i="10"/>
  <c r="F5" i="10" s="1"/>
  <c r="G5" i="10" s="1"/>
  <c r="H5" i="10" s="1"/>
  <c r="I5" i="10" s="1"/>
  <c r="J4" i="1"/>
  <c r="E5" i="1" s="1"/>
  <c r="G5" i="1" s="1"/>
  <c r="H5" i="1" s="1"/>
  <c r="I5" i="1" s="1"/>
  <c r="J5" i="1" s="1"/>
  <c r="E6" i="1" s="1"/>
  <c r="G24" i="7"/>
  <c r="H24" i="7" s="1"/>
  <c r="I24" i="7" s="1"/>
  <c r="K24" i="7" s="1"/>
  <c r="F25" i="7" s="1"/>
  <c r="G6" i="7"/>
  <c r="H6" i="7" s="1"/>
  <c r="I6" i="7" s="1"/>
  <c r="J6" i="7" s="1"/>
  <c r="E7" i="7" s="1"/>
  <c r="K6" i="7"/>
  <c r="F7" i="7" s="1"/>
  <c r="K28" i="6"/>
  <c r="F29" i="6" s="1"/>
  <c r="G4" i="5"/>
  <c r="H4" i="5" s="1"/>
  <c r="I4" i="5" s="1"/>
  <c r="J4" i="5" s="1"/>
  <c r="E5" i="5" s="1"/>
  <c r="G4" i="4"/>
  <c r="H4" i="4" s="1"/>
  <c r="I4" i="4" s="1"/>
  <c r="K4" i="4" s="1"/>
  <c r="F5" i="4" s="1"/>
  <c r="J5" i="2"/>
  <c r="E6" i="2" s="1"/>
  <c r="J4" i="3"/>
  <c r="E5" i="3" s="1"/>
  <c r="G5" i="3" s="1"/>
  <c r="H5" i="3" s="1"/>
  <c r="I5" i="3" s="1"/>
  <c r="K5" i="3" s="1"/>
  <c r="F6" i="3" s="1"/>
  <c r="L36" i="16" l="1"/>
  <c r="F37" i="16" s="1"/>
  <c r="M36" i="16"/>
  <c r="G37" i="16" s="1"/>
  <c r="I29" i="16"/>
  <c r="J29" i="16" s="1"/>
  <c r="K29" i="16" s="1"/>
  <c r="N29" i="16" s="1"/>
  <c r="H30" i="16" s="1"/>
  <c r="L20" i="16"/>
  <c r="F21" i="16" s="1"/>
  <c r="M20" i="16"/>
  <c r="G21" i="16" s="1"/>
  <c r="M4" i="16"/>
  <c r="G5" i="16" s="1"/>
  <c r="L4" i="16"/>
  <c r="F5" i="16" s="1"/>
  <c r="I29" i="15"/>
  <c r="J29" i="15" s="1"/>
  <c r="K29" i="15" s="1"/>
  <c r="N29" i="15" s="1"/>
  <c r="H30" i="15" s="1"/>
  <c r="I21" i="15"/>
  <c r="J21" i="15" s="1"/>
  <c r="K21" i="15" s="1"/>
  <c r="N21" i="15" s="1"/>
  <c r="H22" i="15" s="1"/>
  <c r="I5" i="15"/>
  <c r="J5" i="15" s="1"/>
  <c r="K5" i="15" s="1"/>
  <c r="M5" i="15" s="1"/>
  <c r="G6" i="15" s="1"/>
  <c r="I28" i="14"/>
  <c r="J28" i="14" s="1"/>
  <c r="K28" i="14" s="1"/>
  <c r="N28" i="14"/>
  <c r="H29" i="14" s="1"/>
  <c r="M28" i="14"/>
  <c r="G29" i="14" s="1"/>
  <c r="L28" i="14"/>
  <c r="F29" i="14" s="1"/>
  <c r="I21" i="14"/>
  <c r="J21" i="14" s="1"/>
  <c r="K21" i="14" s="1"/>
  <c r="N21" i="14" s="1"/>
  <c r="H22" i="14" s="1"/>
  <c r="I5" i="14"/>
  <c r="J5" i="14" s="1"/>
  <c r="K5" i="14" s="1"/>
  <c r="M5" i="14"/>
  <c r="G6" i="14" s="1"/>
  <c r="L5" i="14"/>
  <c r="F6" i="14" s="1"/>
  <c r="N5" i="14"/>
  <c r="H6" i="14" s="1"/>
  <c r="I5" i="13"/>
  <c r="J5" i="13" s="1"/>
  <c r="K5" i="13" s="1"/>
  <c r="M5" i="13" s="1"/>
  <c r="G6" i="13" s="1"/>
  <c r="G5" i="12"/>
  <c r="H5" i="12" s="1"/>
  <c r="I5" i="12" s="1"/>
  <c r="K5" i="12" s="1"/>
  <c r="F6" i="12" s="1"/>
  <c r="G56" i="11"/>
  <c r="H56" i="11" s="1"/>
  <c r="I56" i="11" s="1"/>
  <c r="K56" i="11" s="1"/>
  <c r="F57" i="11" s="1"/>
  <c r="G5" i="11"/>
  <c r="H5" i="11" s="1"/>
  <c r="I5" i="11" s="1"/>
  <c r="J5" i="11" s="1"/>
  <c r="E6" i="11" s="1"/>
  <c r="J5" i="10"/>
  <c r="E6" i="10" s="1"/>
  <c r="K5" i="10"/>
  <c r="F6" i="10" s="1"/>
  <c r="G6" i="10" s="1"/>
  <c r="H6" i="10" s="1"/>
  <c r="I6" i="10" s="1"/>
  <c r="J6" i="10" s="1"/>
  <c r="E7" i="10" s="1"/>
  <c r="K5" i="1"/>
  <c r="F6" i="1" s="1"/>
  <c r="G6" i="1" s="1"/>
  <c r="H6" i="1" s="1"/>
  <c r="I6" i="1" s="1"/>
  <c r="J6" i="1" s="1"/>
  <c r="E7" i="1" s="1"/>
  <c r="J24" i="7"/>
  <c r="E25" i="7" s="1"/>
  <c r="G7" i="7"/>
  <c r="H7" i="7" s="1"/>
  <c r="I7" i="7" s="1"/>
  <c r="J7" i="7" s="1"/>
  <c r="E8" i="7" s="1"/>
  <c r="K7" i="7"/>
  <c r="F8" i="7" s="1"/>
  <c r="G29" i="6"/>
  <c r="H29" i="6" s="1"/>
  <c r="I29" i="6" s="1"/>
  <c r="J29" i="6" s="1"/>
  <c r="E30" i="6" s="1"/>
  <c r="K4" i="5"/>
  <c r="F5" i="5" s="1"/>
  <c r="G5" i="5" s="1"/>
  <c r="H5" i="5" s="1"/>
  <c r="I5" i="5" s="1"/>
  <c r="K5" i="5" s="1"/>
  <c r="F6" i="5" s="1"/>
  <c r="J4" i="4"/>
  <c r="E5" i="4" s="1"/>
  <c r="G5" i="4" s="1"/>
  <c r="H5" i="4" s="1"/>
  <c r="I5" i="4" s="1"/>
  <c r="J5" i="4" s="1"/>
  <c r="E6" i="4" s="1"/>
  <c r="G6" i="2"/>
  <c r="H6" i="2" s="1"/>
  <c r="I6" i="2" s="1"/>
  <c r="K6" i="2" s="1"/>
  <c r="F7" i="2" s="1"/>
  <c r="J5" i="3"/>
  <c r="E6" i="3" s="1"/>
  <c r="G6" i="3" s="1"/>
  <c r="H6" i="3" s="1"/>
  <c r="I6" i="3" s="1"/>
  <c r="I37" i="16" l="1"/>
  <c r="J37" i="16" s="1"/>
  <c r="K37" i="16" s="1"/>
  <c r="L37" i="16" s="1"/>
  <c r="F38" i="16" s="1"/>
  <c r="N37" i="16"/>
  <c r="H38" i="16" s="1"/>
  <c r="M37" i="16"/>
  <c r="G38" i="16" s="1"/>
  <c r="L29" i="16"/>
  <c r="F30" i="16" s="1"/>
  <c r="M29" i="16"/>
  <c r="G30" i="16" s="1"/>
  <c r="I21" i="16"/>
  <c r="J21" i="16" s="1"/>
  <c r="K21" i="16" s="1"/>
  <c r="L21" i="16" s="1"/>
  <c r="F22" i="16" s="1"/>
  <c r="N21" i="16"/>
  <c r="H22" i="16" s="1"/>
  <c r="M21" i="16"/>
  <c r="G22" i="16" s="1"/>
  <c r="I5" i="16"/>
  <c r="J5" i="16" s="1"/>
  <c r="K5" i="16" s="1"/>
  <c r="N5" i="16"/>
  <c r="H6" i="16" s="1"/>
  <c r="M5" i="16"/>
  <c r="G6" i="16" s="1"/>
  <c r="L5" i="16"/>
  <c r="F6" i="16" s="1"/>
  <c r="L29" i="15"/>
  <c r="F30" i="15" s="1"/>
  <c r="M29" i="15"/>
  <c r="G30" i="15" s="1"/>
  <c r="L21" i="15"/>
  <c r="F22" i="15" s="1"/>
  <c r="M21" i="15"/>
  <c r="G22" i="15" s="1"/>
  <c r="N5" i="15"/>
  <c r="H6" i="15" s="1"/>
  <c r="L5" i="15"/>
  <c r="F6" i="15" s="1"/>
  <c r="I6" i="15" s="1"/>
  <c r="J6" i="15" s="1"/>
  <c r="K6" i="15" s="1"/>
  <c r="N6" i="15" s="1"/>
  <c r="H7" i="15" s="1"/>
  <c r="I29" i="14"/>
  <c r="J29" i="14" s="1"/>
  <c r="K29" i="14" s="1"/>
  <c r="N29" i="14" s="1"/>
  <c r="H30" i="14" s="1"/>
  <c r="L21" i="14"/>
  <c r="F22" i="14" s="1"/>
  <c r="M21" i="14"/>
  <c r="G22" i="14" s="1"/>
  <c r="I6" i="14"/>
  <c r="J6" i="14" s="1"/>
  <c r="K6" i="14" s="1"/>
  <c r="N6" i="14" s="1"/>
  <c r="H7" i="14" s="1"/>
  <c r="N5" i="13"/>
  <c r="H6" i="13" s="1"/>
  <c r="L5" i="13"/>
  <c r="F6" i="13" s="1"/>
  <c r="J5" i="12"/>
  <c r="E6" i="12" s="1"/>
  <c r="J56" i="11"/>
  <c r="E57" i="11" s="1"/>
  <c r="K5" i="11"/>
  <c r="F6" i="11" s="1"/>
  <c r="G6" i="11" s="1"/>
  <c r="H6" i="11" s="1"/>
  <c r="I6" i="11" s="1"/>
  <c r="J6" i="11" s="1"/>
  <c r="E7" i="11" s="1"/>
  <c r="K6" i="11"/>
  <c r="F7" i="11" s="1"/>
  <c r="G7" i="11" s="1"/>
  <c r="H7" i="11" s="1"/>
  <c r="I7" i="11" s="1"/>
  <c r="K6" i="10"/>
  <c r="F7" i="10" s="1"/>
  <c r="G7" i="10"/>
  <c r="H7" i="10" s="1"/>
  <c r="I7" i="10" s="1"/>
  <c r="K7" i="10" s="1"/>
  <c r="F8" i="10" s="1"/>
  <c r="J6" i="2"/>
  <c r="E7" i="2" s="1"/>
  <c r="G7" i="2" s="1"/>
  <c r="H7" i="2" s="1"/>
  <c r="I7" i="2" s="1"/>
  <c r="K7" i="2" s="1"/>
  <c r="F8" i="2" s="1"/>
  <c r="K5" i="4"/>
  <c r="F6" i="4" s="1"/>
  <c r="G25" i="7"/>
  <c r="H25" i="7" s="1"/>
  <c r="I25" i="7" s="1"/>
  <c r="K25" i="7" s="1"/>
  <c r="F26" i="7" s="1"/>
  <c r="J25" i="7"/>
  <c r="E26" i="7" s="1"/>
  <c r="G8" i="7"/>
  <c r="H8" i="7" s="1"/>
  <c r="I8" i="7" s="1"/>
  <c r="J8" i="7" s="1"/>
  <c r="E9" i="7" s="1"/>
  <c r="K8" i="7"/>
  <c r="F9" i="7" s="1"/>
  <c r="K29" i="6"/>
  <c r="F30" i="6" s="1"/>
  <c r="G30" i="6" s="1"/>
  <c r="H30" i="6" s="1"/>
  <c r="I30" i="6" s="1"/>
  <c r="J30" i="6" s="1"/>
  <c r="E31" i="6" s="1"/>
  <c r="J5" i="5"/>
  <c r="E6" i="5" s="1"/>
  <c r="G6" i="4"/>
  <c r="H6" i="4" s="1"/>
  <c r="I6" i="4" s="1"/>
  <c r="K6" i="4" s="1"/>
  <c r="F7" i="4" s="1"/>
  <c r="J6" i="3"/>
  <c r="E7" i="3" s="1"/>
  <c r="K6" i="3"/>
  <c r="F7" i="3" s="1"/>
  <c r="K6" i="1"/>
  <c r="F7" i="1" s="1"/>
  <c r="I38" i="16" l="1"/>
  <c r="J38" i="16" s="1"/>
  <c r="K38" i="16" s="1"/>
  <c r="N38" i="16" s="1"/>
  <c r="H39" i="16" s="1"/>
  <c r="I30" i="16"/>
  <c r="J30" i="16" s="1"/>
  <c r="K30" i="16" s="1"/>
  <c r="N30" i="16"/>
  <c r="H31" i="16" s="1"/>
  <c r="M30" i="16"/>
  <c r="G31" i="16" s="1"/>
  <c r="L30" i="16"/>
  <c r="F31" i="16" s="1"/>
  <c r="I22" i="16"/>
  <c r="J22" i="16" s="1"/>
  <c r="K22" i="16" s="1"/>
  <c r="N22" i="16" s="1"/>
  <c r="H23" i="16" s="1"/>
  <c r="I6" i="16"/>
  <c r="J6" i="16" s="1"/>
  <c r="K6" i="16" s="1"/>
  <c r="M6" i="16" s="1"/>
  <c r="G7" i="16" s="1"/>
  <c r="I30" i="15"/>
  <c r="J30" i="15" s="1"/>
  <c r="K30" i="15" s="1"/>
  <c r="N30" i="15"/>
  <c r="H31" i="15" s="1"/>
  <c r="M30" i="15"/>
  <c r="G31" i="15" s="1"/>
  <c r="L30" i="15"/>
  <c r="F31" i="15" s="1"/>
  <c r="I22" i="15"/>
  <c r="J22" i="15" s="1"/>
  <c r="K22" i="15" s="1"/>
  <c r="N22" i="15"/>
  <c r="H23" i="15" s="1"/>
  <c r="M22" i="15"/>
  <c r="G23" i="15" s="1"/>
  <c r="L22" i="15"/>
  <c r="F23" i="15" s="1"/>
  <c r="L6" i="15"/>
  <c r="F7" i="15" s="1"/>
  <c r="M6" i="15"/>
  <c r="G7" i="15" s="1"/>
  <c r="L29" i="14"/>
  <c r="F30" i="14" s="1"/>
  <c r="M29" i="14"/>
  <c r="G30" i="14" s="1"/>
  <c r="I22" i="14"/>
  <c r="J22" i="14" s="1"/>
  <c r="K22" i="14" s="1"/>
  <c r="N22" i="14"/>
  <c r="H23" i="14" s="1"/>
  <c r="M22" i="14"/>
  <c r="G23" i="14" s="1"/>
  <c r="L22" i="14"/>
  <c r="F23" i="14" s="1"/>
  <c r="L6" i="14"/>
  <c r="F7" i="14" s="1"/>
  <c r="M6" i="14"/>
  <c r="G7" i="14" s="1"/>
  <c r="I6" i="13"/>
  <c r="J6" i="13" s="1"/>
  <c r="K6" i="13" s="1"/>
  <c r="L6" i="13" s="1"/>
  <c r="F7" i="13" s="1"/>
  <c r="G6" i="12"/>
  <c r="H6" i="12" s="1"/>
  <c r="I6" i="12" s="1"/>
  <c r="K6" i="12" s="1"/>
  <c r="F7" i="12" s="1"/>
  <c r="G57" i="11"/>
  <c r="H57" i="11" s="1"/>
  <c r="I57" i="11" s="1"/>
  <c r="K57" i="11" s="1"/>
  <c r="J7" i="11"/>
  <c r="E8" i="11" s="1"/>
  <c r="K7" i="11"/>
  <c r="F8" i="11" s="1"/>
  <c r="J7" i="10"/>
  <c r="E8" i="10" s="1"/>
  <c r="G7" i="3"/>
  <c r="H7" i="3" s="1"/>
  <c r="I7" i="3" s="1"/>
  <c r="K7" i="3" s="1"/>
  <c r="F8" i="3" s="1"/>
  <c r="J6" i="4"/>
  <c r="E7" i="4" s="1"/>
  <c r="G6" i="5"/>
  <c r="H6" i="5" s="1"/>
  <c r="I6" i="5" s="1"/>
  <c r="K6" i="5" s="1"/>
  <c r="F7" i="5" s="1"/>
  <c r="G26" i="7"/>
  <c r="H26" i="7" s="1"/>
  <c r="I26" i="7" s="1"/>
  <c r="J26" i="7" s="1"/>
  <c r="E27" i="7" s="1"/>
  <c r="K26" i="7"/>
  <c r="F27" i="7" s="1"/>
  <c r="G9" i="7"/>
  <c r="H9" i="7" s="1"/>
  <c r="I9" i="7" s="1"/>
  <c r="J9" i="7" s="1"/>
  <c r="E10" i="7" s="1"/>
  <c r="K30" i="6"/>
  <c r="F31" i="6" s="1"/>
  <c r="G7" i="4"/>
  <c r="H7" i="4" s="1"/>
  <c r="I7" i="4" s="1"/>
  <c r="K7" i="4" s="1"/>
  <c r="F8" i="4" s="1"/>
  <c r="J7" i="2"/>
  <c r="E8" i="2" s="1"/>
  <c r="G7" i="1"/>
  <c r="H7" i="1" s="1"/>
  <c r="I7" i="1" s="1"/>
  <c r="J7" i="1" s="1"/>
  <c r="E8" i="1" s="1"/>
  <c r="L38" i="16" l="1"/>
  <c r="F39" i="16" s="1"/>
  <c r="M38" i="16"/>
  <c r="G39" i="16" s="1"/>
  <c r="I31" i="16"/>
  <c r="J31" i="16" s="1"/>
  <c r="K31" i="16" s="1"/>
  <c r="N31" i="16" s="1"/>
  <c r="H32" i="16" s="1"/>
  <c r="L22" i="16"/>
  <c r="F23" i="16" s="1"/>
  <c r="M22" i="16"/>
  <c r="G23" i="16" s="1"/>
  <c r="N6" i="16"/>
  <c r="H7" i="16" s="1"/>
  <c r="L6" i="16"/>
  <c r="F7" i="16" s="1"/>
  <c r="I31" i="15"/>
  <c r="J31" i="15" s="1"/>
  <c r="K31" i="15" s="1"/>
  <c r="N31" i="15" s="1"/>
  <c r="H32" i="15" s="1"/>
  <c r="I23" i="15"/>
  <c r="J23" i="15" s="1"/>
  <c r="K23" i="15" s="1"/>
  <c r="N23" i="15" s="1"/>
  <c r="H24" i="15" s="1"/>
  <c r="I7" i="15"/>
  <c r="J7" i="15" s="1"/>
  <c r="K7" i="15" s="1"/>
  <c r="N7" i="15" s="1"/>
  <c r="H8" i="15" s="1"/>
  <c r="I30" i="14"/>
  <c r="J30" i="14" s="1"/>
  <c r="K30" i="14" s="1"/>
  <c r="N30" i="14"/>
  <c r="H31" i="14" s="1"/>
  <c r="M30" i="14"/>
  <c r="G31" i="14" s="1"/>
  <c r="L30" i="14"/>
  <c r="F31" i="14" s="1"/>
  <c r="I23" i="14"/>
  <c r="J23" i="14" s="1"/>
  <c r="K23" i="14" s="1"/>
  <c r="N23" i="14" s="1"/>
  <c r="H24" i="14" s="1"/>
  <c r="I7" i="14"/>
  <c r="J7" i="14" s="1"/>
  <c r="K7" i="14" s="1"/>
  <c r="N7" i="14"/>
  <c r="H8" i="14" s="1"/>
  <c r="M7" i="14"/>
  <c r="G8" i="14" s="1"/>
  <c r="L7" i="14"/>
  <c r="F8" i="14" s="1"/>
  <c r="M6" i="13"/>
  <c r="G7" i="13" s="1"/>
  <c r="N6" i="13"/>
  <c r="H7" i="13" s="1"/>
  <c r="J6" i="12"/>
  <c r="E7" i="12" s="1"/>
  <c r="J57" i="11"/>
  <c r="G8" i="11"/>
  <c r="H8" i="11" s="1"/>
  <c r="I8" i="11" s="1"/>
  <c r="J8" i="11" s="1"/>
  <c r="E9" i="11" s="1"/>
  <c r="K8" i="11"/>
  <c r="F9" i="11" s="1"/>
  <c r="G9" i="11"/>
  <c r="H9" i="11" s="1"/>
  <c r="I9" i="11" s="1"/>
  <c r="J9" i="11" s="1"/>
  <c r="E10" i="11" s="1"/>
  <c r="G8" i="10"/>
  <c r="H8" i="10" s="1"/>
  <c r="I8" i="10" s="1"/>
  <c r="K8" i="10" s="1"/>
  <c r="F9" i="10" s="1"/>
  <c r="J7" i="3"/>
  <c r="E8" i="3" s="1"/>
  <c r="G8" i="3" s="1"/>
  <c r="H8" i="3" s="1"/>
  <c r="I8" i="3" s="1"/>
  <c r="K8" i="3" s="1"/>
  <c r="F9" i="3" s="1"/>
  <c r="K9" i="7"/>
  <c r="F10" i="7" s="1"/>
  <c r="J7" i="4"/>
  <c r="E8" i="4" s="1"/>
  <c r="J6" i="5"/>
  <c r="E7" i="5" s="1"/>
  <c r="G7" i="5" s="1"/>
  <c r="H7" i="5" s="1"/>
  <c r="I7" i="5" s="1"/>
  <c r="J7" i="5" s="1"/>
  <c r="E8" i="5" s="1"/>
  <c r="G27" i="7"/>
  <c r="H27" i="7" s="1"/>
  <c r="I27" i="7" s="1"/>
  <c r="J27" i="7" s="1"/>
  <c r="E28" i="7" s="1"/>
  <c r="G10" i="7"/>
  <c r="H10" i="7" s="1"/>
  <c r="I10" i="7" s="1"/>
  <c r="J10" i="7" s="1"/>
  <c r="E11" i="7" s="1"/>
  <c r="K10" i="7"/>
  <c r="F11" i="7" s="1"/>
  <c r="G31" i="6"/>
  <c r="H31" i="6" s="1"/>
  <c r="I31" i="6" s="1"/>
  <c r="J31" i="6" s="1"/>
  <c r="E32" i="6" s="1"/>
  <c r="G8" i="4"/>
  <c r="H8" i="4" s="1"/>
  <c r="I8" i="4" s="1"/>
  <c r="K8" i="4" s="1"/>
  <c r="F9" i="4" s="1"/>
  <c r="G8" i="2"/>
  <c r="H8" i="2" s="1"/>
  <c r="I8" i="2" s="1"/>
  <c r="K8" i="2" s="1"/>
  <c r="F9" i="2" s="1"/>
  <c r="J8" i="3"/>
  <c r="E9" i="3" s="1"/>
  <c r="K7" i="1"/>
  <c r="F8" i="1" s="1"/>
  <c r="I39" i="16" l="1"/>
  <c r="J39" i="16" s="1"/>
  <c r="K39" i="16" s="1"/>
  <c r="N39" i="16"/>
  <c r="H40" i="16" s="1"/>
  <c r="M39" i="16"/>
  <c r="G40" i="16" s="1"/>
  <c r="L39" i="16"/>
  <c r="F40" i="16" s="1"/>
  <c r="L31" i="16"/>
  <c r="F32" i="16" s="1"/>
  <c r="M31" i="16"/>
  <c r="G32" i="16" s="1"/>
  <c r="I23" i="16"/>
  <c r="J23" i="16" s="1"/>
  <c r="K23" i="16" s="1"/>
  <c r="N23" i="16"/>
  <c r="H24" i="16" s="1"/>
  <c r="M23" i="16"/>
  <c r="G24" i="16" s="1"/>
  <c r="L23" i="16"/>
  <c r="F24" i="16" s="1"/>
  <c r="I7" i="16"/>
  <c r="J7" i="16" s="1"/>
  <c r="K7" i="16" s="1"/>
  <c r="M7" i="16" s="1"/>
  <c r="G8" i="16" s="1"/>
  <c r="L31" i="15"/>
  <c r="F32" i="15" s="1"/>
  <c r="M31" i="15"/>
  <c r="G32" i="15" s="1"/>
  <c r="L23" i="15"/>
  <c r="F24" i="15" s="1"/>
  <c r="M23" i="15"/>
  <c r="G24" i="15" s="1"/>
  <c r="L7" i="15"/>
  <c r="F8" i="15" s="1"/>
  <c r="M7" i="15"/>
  <c r="G8" i="15" s="1"/>
  <c r="I31" i="14"/>
  <c r="J31" i="14" s="1"/>
  <c r="K31" i="14" s="1"/>
  <c r="N31" i="14" s="1"/>
  <c r="H32" i="14" s="1"/>
  <c r="L23" i="14"/>
  <c r="F24" i="14" s="1"/>
  <c r="M23" i="14"/>
  <c r="G24" i="14" s="1"/>
  <c r="I8" i="14"/>
  <c r="J8" i="14" s="1"/>
  <c r="K8" i="14" s="1"/>
  <c r="N8" i="14" s="1"/>
  <c r="H9" i="14" s="1"/>
  <c r="I7" i="13"/>
  <c r="J7" i="13" s="1"/>
  <c r="K7" i="13" s="1"/>
  <c r="L7" i="13"/>
  <c r="F8" i="13" s="1"/>
  <c r="N7" i="13"/>
  <c r="H8" i="13" s="1"/>
  <c r="M7" i="13"/>
  <c r="G8" i="13" s="1"/>
  <c r="G7" i="12"/>
  <c r="H7" i="12" s="1"/>
  <c r="I7" i="12" s="1"/>
  <c r="K7" i="12" s="1"/>
  <c r="F8" i="12" s="1"/>
  <c r="K9" i="11"/>
  <c r="F10" i="11" s="1"/>
  <c r="G10" i="11" s="1"/>
  <c r="H10" i="11" s="1"/>
  <c r="I10" i="11" s="1"/>
  <c r="J10" i="11" s="1"/>
  <c r="E11" i="11" s="1"/>
  <c r="J8" i="10"/>
  <c r="E9" i="10" s="1"/>
  <c r="J8" i="4"/>
  <c r="E9" i="4" s="1"/>
  <c r="G9" i="4" s="1"/>
  <c r="H9" i="4" s="1"/>
  <c r="I9" i="4" s="1"/>
  <c r="J9" i="4" s="1"/>
  <c r="E10" i="4" s="1"/>
  <c r="K27" i="7"/>
  <c r="F28" i="7" s="1"/>
  <c r="K7" i="5"/>
  <c r="F8" i="5" s="1"/>
  <c r="G8" i="5" s="1"/>
  <c r="H8" i="5" s="1"/>
  <c r="I8" i="5" s="1"/>
  <c r="G28" i="7"/>
  <c r="H28" i="7" s="1"/>
  <c r="I28" i="7" s="1"/>
  <c r="J28" i="7" s="1"/>
  <c r="E29" i="7" s="1"/>
  <c r="G11" i="7"/>
  <c r="H11" i="7" s="1"/>
  <c r="I11" i="7" s="1"/>
  <c r="J11" i="7" s="1"/>
  <c r="E12" i="7" s="1"/>
  <c r="K31" i="6"/>
  <c r="F32" i="6" s="1"/>
  <c r="K9" i="4"/>
  <c r="F10" i="4" s="1"/>
  <c r="J8" i="2"/>
  <c r="E9" i="2" s="1"/>
  <c r="G9" i="2"/>
  <c r="H9" i="2" s="1"/>
  <c r="I9" i="2" s="1"/>
  <c r="K9" i="2" s="1"/>
  <c r="F10" i="2" s="1"/>
  <c r="G9" i="3"/>
  <c r="H9" i="3" s="1"/>
  <c r="I9" i="3" s="1"/>
  <c r="K9" i="3" s="1"/>
  <c r="F10" i="3" s="1"/>
  <c r="G8" i="1"/>
  <c r="H8" i="1" s="1"/>
  <c r="I8" i="1" s="1"/>
  <c r="J8" i="1" s="1"/>
  <c r="E9" i="1" s="1"/>
  <c r="I40" i="16" l="1"/>
  <c r="J40" i="16" s="1"/>
  <c r="K40" i="16" s="1"/>
  <c r="N40" i="16" s="1"/>
  <c r="H41" i="16" s="1"/>
  <c r="I32" i="16"/>
  <c r="J32" i="16" s="1"/>
  <c r="K32" i="16" s="1"/>
  <c r="N32" i="16" s="1"/>
  <c r="H33" i="16" s="1"/>
  <c r="I24" i="16"/>
  <c r="J24" i="16" s="1"/>
  <c r="K24" i="16" s="1"/>
  <c r="N24" i="16" s="1"/>
  <c r="H25" i="16" s="1"/>
  <c r="L7" i="16"/>
  <c r="F8" i="16" s="1"/>
  <c r="N7" i="16"/>
  <c r="H8" i="16" s="1"/>
  <c r="I32" i="15"/>
  <c r="J32" i="15" s="1"/>
  <c r="K32" i="15" s="1"/>
  <c r="N32" i="15" s="1"/>
  <c r="H33" i="15" s="1"/>
  <c r="I24" i="15"/>
  <c r="J24" i="15" s="1"/>
  <c r="K24" i="15" s="1"/>
  <c r="N24" i="15" s="1"/>
  <c r="H25" i="15" s="1"/>
  <c r="I8" i="15"/>
  <c r="J8" i="15" s="1"/>
  <c r="K8" i="15" s="1"/>
  <c r="N8" i="15" s="1"/>
  <c r="H9" i="15" s="1"/>
  <c r="L31" i="14"/>
  <c r="F32" i="14" s="1"/>
  <c r="M31" i="14"/>
  <c r="G32" i="14" s="1"/>
  <c r="I24" i="14"/>
  <c r="J24" i="14" s="1"/>
  <c r="K24" i="14" s="1"/>
  <c r="N24" i="14" s="1"/>
  <c r="H25" i="14" s="1"/>
  <c r="L8" i="14"/>
  <c r="F9" i="14" s="1"/>
  <c r="M8" i="14"/>
  <c r="G9" i="14" s="1"/>
  <c r="I8" i="13"/>
  <c r="J8" i="13" s="1"/>
  <c r="K8" i="13" s="1"/>
  <c r="L8" i="13" s="1"/>
  <c r="F9" i="13" s="1"/>
  <c r="M8" i="13"/>
  <c r="G9" i="13" s="1"/>
  <c r="J7" i="12"/>
  <c r="E8" i="12" s="1"/>
  <c r="K10" i="11"/>
  <c r="F11" i="11" s="1"/>
  <c r="G11" i="11" s="1"/>
  <c r="H11" i="11" s="1"/>
  <c r="I11" i="11" s="1"/>
  <c r="J11" i="11" s="1"/>
  <c r="E12" i="11" s="1"/>
  <c r="G9" i="10"/>
  <c r="H9" i="10" s="1"/>
  <c r="I9" i="10" s="1"/>
  <c r="K9" i="10" s="1"/>
  <c r="F10" i="10" s="1"/>
  <c r="K8" i="5"/>
  <c r="F9" i="5" s="1"/>
  <c r="J8" i="5"/>
  <c r="E9" i="5" s="1"/>
  <c r="K11" i="7"/>
  <c r="F12" i="7" s="1"/>
  <c r="J9" i="2"/>
  <c r="E10" i="2" s="1"/>
  <c r="K28" i="7"/>
  <c r="F29" i="7" s="1"/>
  <c r="G29" i="7"/>
  <c r="H29" i="7" s="1"/>
  <c r="I29" i="7" s="1"/>
  <c r="J29" i="7" s="1"/>
  <c r="E30" i="7" s="1"/>
  <c r="G12" i="7"/>
  <c r="H12" i="7" s="1"/>
  <c r="I12" i="7" s="1"/>
  <c r="J12" i="7" s="1"/>
  <c r="E13" i="7" s="1"/>
  <c r="G32" i="6"/>
  <c r="H32" i="6" s="1"/>
  <c r="I32" i="6" s="1"/>
  <c r="J32" i="6" s="1"/>
  <c r="E33" i="6" s="1"/>
  <c r="G10" i="4"/>
  <c r="H10" i="4" s="1"/>
  <c r="I10" i="4" s="1"/>
  <c r="J10" i="4" s="1"/>
  <c r="E11" i="4" s="1"/>
  <c r="G10" i="2"/>
  <c r="H10" i="2" s="1"/>
  <c r="I10" i="2" s="1"/>
  <c r="J10" i="2" s="1"/>
  <c r="E11" i="2" s="1"/>
  <c r="J9" i="3"/>
  <c r="E10" i="3" s="1"/>
  <c r="K8" i="1"/>
  <c r="F9" i="1" s="1"/>
  <c r="L40" i="16" l="1"/>
  <c r="F41" i="16" s="1"/>
  <c r="M40" i="16"/>
  <c r="G41" i="16" s="1"/>
  <c r="L32" i="16"/>
  <c r="F33" i="16" s="1"/>
  <c r="M32" i="16"/>
  <c r="G33" i="16" s="1"/>
  <c r="L24" i="16"/>
  <c r="F25" i="16" s="1"/>
  <c r="M24" i="16"/>
  <c r="G25" i="16" s="1"/>
  <c r="I8" i="16"/>
  <c r="J8" i="16" s="1"/>
  <c r="K8" i="16" s="1"/>
  <c r="N8" i="16" s="1"/>
  <c r="H9" i="16" s="1"/>
  <c r="L32" i="15"/>
  <c r="F33" i="15" s="1"/>
  <c r="M32" i="15"/>
  <c r="G33" i="15" s="1"/>
  <c r="L24" i="15"/>
  <c r="F25" i="15" s="1"/>
  <c r="M24" i="15"/>
  <c r="G25" i="15" s="1"/>
  <c r="L8" i="15"/>
  <c r="F9" i="15" s="1"/>
  <c r="M8" i="15"/>
  <c r="G9" i="15" s="1"/>
  <c r="I32" i="14"/>
  <c r="J32" i="14" s="1"/>
  <c r="K32" i="14" s="1"/>
  <c r="N32" i="14" s="1"/>
  <c r="H33" i="14" s="1"/>
  <c r="L24" i="14"/>
  <c r="F25" i="14" s="1"/>
  <c r="M24" i="14"/>
  <c r="G25" i="14" s="1"/>
  <c r="I9" i="14"/>
  <c r="J9" i="14" s="1"/>
  <c r="K9" i="14" s="1"/>
  <c r="N9" i="14" s="1"/>
  <c r="H10" i="14" s="1"/>
  <c r="N8" i="13"/>
  <c r="H9" i="13" s="1"/>
  <c r="I9" i="13" s="1"/>
  <c r="J9" i="13" s="1"/>
  <c r="K9" i="13" s="1"/>
  <c r="G8" i="12"/>
  <c r="H8" i="12" s="1"/>
  <c r="I8" i="12" s="1"/>
  <c r="K8" i="12" s="1"/>
  <c r="F9" i="12" s="1"/>
  <c r="K11" i="11"/>
  <c r="F12" i="11" s="1"/>
  <c r="G12" i="11" s="1"/>
  <c r="H12" i="11" s="1"/>
  <c r="I12" i="11" s="1"/>
  <c r="J12" i="11" s="1"/>
  <c r="E13" i="11" s="1"/>
  <c r="J9" i="10"/>
  <c r="E10" i="10" s="1"/>
  <c r="K12" i="7"/>
  <c r="F13" i="7" s="1"/>
  <c r="K29" i="7"/>
  <c r="F30" i="7" s="1"/>
  <c r="G9" i="5"/>
  <c r="H9" i="5" s="1"/>
  <c r="I9" i="5" s="1"/>
  <c r="K9" i="5" s="1"/>
  <c r="F10" i="5" s="1"/>
  <c r="J9" i="5"/>
  <c r="E10" i="5" s="1"/>
  <c r="G30" i="7"/>
  <c r="H30" i="7" s="1"/>
  <c r="I30" i="7" s="1"/>
  <c r="K30" i="7" s="1"/>
  <c r="F31" i="7" s="1"/>
  <c r="J30" i="7"/>
  <c r="E31" i="7" s="1"/>
  <c r="G13" i="7"/>
  <c r="H13" i="7" s="1"/>
  <c r="I13" i="7" s="1"/>
  <c r="J13" i="7" s="1"/>
  <c r="E14" i="7" s="1"/>
  <c r="K32" i="6"/>
  <c r="F33" i="6" s="1"/>
  <c r="K10" i="4"/>
  <c r="F11" i="4" s="1"/>
  <c r="K10" i="2"/>
  <c r="F11" i="2" s="1"/>
  <c r="G10" i="3"/>
  <c r="H10" i="3" s="1"/>
  <c r="I10" i="3" s="1"/>
  <c r="K10" i="3" s="1"/>
  <c r="F11" i="3" s="1"/>
  <c r="G9" i="1"/>
  <c r="H9" i="1" s="1"/>
  <c r="I9" i="1" s="1"/>
  <c r="J9" i="1" s="1"/>
  <c r="E10" i="1" s="1"/>
  <c r="I41" i="16" l="1"/>
  <c r="J41" i="16" s="1"/>
  <c r="K41" i="16" s="1"/>
  <c r="N41" i="16" s="1"/>
  <c r="I33" i="16"/>
  <c r="J33" i="16" s="1"/>
  <c r="K33" i="16" s="1"/>
  <c r="N33" i="16" s="1"/>
  <c r="I25" i="16"/>
  <c r="J25" i="16" s="1"/>
  <c r="K25" i="16" s="1"/>
  <c r="N25" i="16" s="1"/>
  <c r="L8" i="16"/>
  <c r="F9" i="16" s="1"/>
  <c r="M8" i="16"/>
  <c r="G9" i="16" s="1"/>
  <c r="I9" i="16" s="1"/>
  <c r="J9" i="16" s="1"/>
  <c r="K9" i="16" s="1"/>
  <c r="I33" i="15"/>
  <c r="J33" i="15" s="1"/>
  <c r="K33" i="15" s="1"/>
  <c r="N33" i="15" s="1"/>
  <c r="I25" i="15"/>
  <c r="J25" i="15" s="1"/>
  <c r="K25" i="15" s="1"/>
  <c r="N25" i="15" s="1"/>
  <c r="I9" i="15"/>
  <c r="J9" i="15" s="1"/>
  <c r="K9" i="15" s="1"/>
  <c r="N9" i="15" s="1"/>
  <c r="H10" i="15" s="1"/>
  <c r="L32" i="14"/>
  <c r="F33" i="14" s="1"/>
  <c r="M32" i="14"/>
  <c r="G33" i="14" s="1"/>
  <c r="I25" i="14"/>
  <c r="J25" i="14" s="1"/>
  <c r="K25" i="14" s="1"/>
  <c r="N25" i="14" s="1"/>
  <c r="L9" i="14"/>
  <c r="F10" i="14" s="1"/>
  <c r="M9" i="14"/>
  <c r="G10" i="14" s="1"/>
  <c r="L9" i="13"/>
  <c r="F10" i="13" s="1"/>
  <c r="M9" i="13"/>
  <c r="G10" i="13" s="1"/>
  <c r="N9" i="13"/>
  <c r="H10" i="13" s="1"/>
  <c r="J8" i="12"/>
  <c r="E9" i="12" s="1"/>
  <c r="K12" i="11"/>
  <c r="F13" i="11" s="1"/>
  <c r="G13" i="11"/>
  <c r="H13" i="11" s="1"/>
  <c r="I13" i="11" s="1"/>
  <c r="J13" i="11" s="1"/>
  <c r="E14" i="11" s="1"/>
  <c r="G10" i="10"/>
  <c r="H10" i="10" s="1"/>
  <c r="I10" i="10" s="1"/>
  <c r="K10" i="10" s="1"/>
  <c r="F11" i="10" s="1"/>
  <c r="K13" i="7"/>
  <c r="F14" i="7" s="1"/>
  <c r="G10" i="5"/>
  <c r="H10" i="5" s="1"/>
  <c r="I10" i="5" s="1"/>
  <c r="K10" i="5" s="1"/>
  <c r="F11" i="5" s="1"/>
  <c r="G31" i="7"/>
  <c r="H31" i="7" s="1"/>
  <c r="I31" i="7" s="1"/>
  <c r="K31" i="7" s="1"/>
  <c r="F32" i="7" s="1"/>
  <c r="G14" i="7"/>
  <c r="H14" i="7" s="1"/>
  <c r="I14" i="7" s="1"/>
  <c r="J14" i="7" s="1"/>
  <c r="E15" i="7" s="1"/>
  <c r="K14" i="7"/>
  <c r="F15" i="7" s="1"/>
  <c r="G33" i="6"/>
  <c r="H33" i="6" s="1"/>
  <c r="I33" i="6" s="1"/>
  <c r="J33" i="6" s="1"/>
  <c r="E34" i="6" s="1"/>
  <c r="G11" i="4"/>
  <c r="H11" i="4" s="1"/>
  <c r="I11" i="4" s="1"/>
  <c r="J11" i="4" s="1"/>
  <c r="E12" i="4" s="1"/>
  <c r="G11" i="2"/>
  <c r="H11" i="2" s="1"/>
  <c r="I11" i="2" s="1"/>
  <c r="J11" i="2" s="1"/>
  <c r="E12" i="2" s="1"/>
  <c r="J10" i="3"/>
  <c r="E11" i="3" s="1"/>
  <c r="K9" i="1"/>
  <c r="F10" i="1" s="1"/>
  <c r="G10" i="1" s="1"/>
  <c r="H10" i="1" s="1"/>
  <c r="I10" i="1" s="1"/>
  <c r="L41" i="16" l="1"/>
  <c r="M41" i="16"/>
  <c r="L33" i="16"/>
  <c r="M33" i="16"/>
  <c r="L25" i="16"/>
  <c r="M25" i="16"/>
  <c r="M9" i="16"/>
  <c r="G10" i="16" s="1"/>
  <c r="L9" i="16"/>
  <c r="F10" i="16" s="1"/>
  <c r="N9" i="16"/>
  <c r="H10" i="16" s="1"/>
  <c r="L33" i="15"/>
  <c r="M33" i="15"/>
  <c r="L25" i="15"/>
  <c r="M25" i="15"/>
  <c r="L9" i="15"/>
  <c r="F10" i="15" s="1"/>
  <c r="M9" i="15"/>
  <c r="G10" i="15" s="1"/>
  <c r="I33" i="14"/>
  <c r="J33" i="14" s="1"/>
  <c r="K33" i="14" s="1"/>
  <c r="N33" i="14" s="1"/>
  <c r="L25" i="14"/>
  <c r="M25" i="14"/>
  <c r="I10" i="14"/>
  <c r="J10" i="14" s="1"/>
  <c r="K10" i="14" s="1"/>
  <c r="M10" i="14" s="1"/>
  <c r="G11" i="14" s="1"/>
  <c r="I10" i="13"/>
  <c r="J10" i="13" s="1"/>
  <c r="K10" i="13" s="1"/>
  <c r="L10" i="13"/>
  <c r="F11" i="13" s="1"/>
  <c r="N10" i="13"/>
  <c r="H11" i="13" s="1"/>
  <c r="M10" i="13"/>
  <c r="G11" i="13" s="1"/>
  <c r="G9" i="12"/>
  <c r="H9" i="12" s="1"/>
  <c r="I9" i="12" s="1"/>
  <c r="K9" i="12" s="1"/>
  <c r="F10" i="12" s="1"/>
  <c r="K13" i="11"/>
  <c r="F14" i="11" s="1"/>
  <c r="G14" i="11"/>
  <c r="H14" i="11" s="1"/>
  <c r="I14" i="11" s="1"/>
  <c r="J14" i="11" s="1"/>
  <c r="E15" i="11" s="1"/>
  <c r="J10" i="10"/>
  <c r="E11" i="10" s="1"/>
  <c r="G11" i="10" s="1"/>
  <c r="H11" i="10" s="1"/>
  <c r="I11" i="10" s="1"/>
  <c r="J11" i="10" s="1"/>
  <c r="E12" i="10" s="1"/>
  <c r="J10" i="5"/>
  <c r="E11" i="5" s="1"/>
  <c r="J31" i="7"/>
  <c r="E32" i="7" s="1"/>
  <c r="G15" i="7"/>
  <c r="H15" i="7" s="1"/>
  <c r="I15" i="7" s="1"/>
  <c r="J15" i="7" s="1"/>
  <c r="E16" i="7" s="1"/>
  <c r="K33" i="6"/>
  <c r="F34" i="6" s="1"/>
  <c r="G34" i="6"/>
  <c r="H34" i="6" s="1"/>
  <c r="I34" i="6" s="1"/>
  <c r="K34" i="6" s="1"/>
  <c r="F35" i="6" s="1"/>
  <c r="K11" i="4"/>
  <c r="F12" i="4" s="1"/>
  <c r="K11" i="2"/>
  <c r="F12" i="2" s="1"/>
  <c r="G12" i="2" s="1"/>
  <c r="H12" i="2" s="1"/>
  <c r="I12" i="2" s="1"/>
  <c r="K12" i="2" s="1"/>
  <c r="F13" i="2" s="1"/>
  <c r="G11" i="3"/>
  <c r="H11" i="3" s="1"/>
  <c r="I11" i="3" s="1"/>
  <c r="K11" i="3" s="1"/>
  <c r="F12" i="3" s="1"/>
  <c r="K10" i="1"/>
  <c r="F11" i="1" s="1"/>
  <c r="J10" i="1"/>
  <c r="E11" i="1" s="1"/>
  <c r="I10" i="16" l="1"/>
  <c r="J10" i="16" s="1"/>
  <c r="K10" i="16" s="1"/>
  <c r="L10" i="16" s="1"/>
  <c r="F11" i="16" s="1"/>
  <c r="I10" i="15"/>
  <c r="J10" i="15" s="1"/>
  <c r="K10" i="15" s="1"/>
  <c r="M10" i="15" s="1"/>
  <c r="G11" i="15" s="1"/>
  <c r="N10" i="15"/>
  <c r="H11" i="15" s="1"/>
  <c r="L33" i="14"/>
  <c r="M33" i="14"/>
  <c r="N10" i="14"/>
  <c r="H11" i="14" s="1"/>
  <c r="L10" i="14"/>
  <c r="F11" i="14" s="1"/>
  <c r="I11" i="13"/>
  <c r="J11" i="13" s="1"/>
  <c r="K11" i="13" s="1"/>
  <c r="N11" i="13" s="1"/>
  <c r="H12" i="13" s="1"/>
  <c r="L11" i="13"/>
  <c r="F12" i="13" s="1"/>
  <c r="M11" i="13"/>
  <c r="G12" i="13" s="1"/>
  <c r="J9" i="12"/>
  <c r="E10" i="12" s="1"/>
  <c r="K14" i="11"/>
  <c r="F15" i="11" s="1"/>
  <c r="G15" i="11" s="1"/>
  <c r="H15" i="11" s="1"/>
  <c r="I15" i="11" s="1"/>
  <c r="K15" i="11" s="1"/>
  <c r="F16" i="11" s="1"/>
  <c r="K11" i="10"/>
  <c r="F12" i="10" s="1"/>
  <c r="G12" i="10"/>
  <c r="H12" i="10" s="1"/>
  <c r="I12" i="10" s="1"/>
  <c r="J12" i="10" s="1"/>
  <c r="E13" i="10" s="1"/>
  <c r="K12" i="10"/>
  <c r="F13" i="10" s="1"/>
  <c r="G11" i="5"/>
  <c r="H11" i="5" s="1"/>
  <c r="I11" i="5" s="1"/>
  <c r="K11" i="5" s="1"/>
  <c r="F12" i="5" s="1"/>
  <c r="J11" i="5"/>
  <c r="E12" i="5" s="1"/>
  <c r="G32" i="7"/>
  <c r="H32" i="7" s="1"/>
  <c r="I32" i="7" s="1"/>
  <c r="K32" i="7" s="1"/>
  <c r="F33" i="7" s="1"/>
  <c r="K15" i="7"/>
  <c r="F16" i="7" s="1"/>
  <c r="J34" i="6"/>
  <c r="E35" i="6" s="1"/>
  <c r="G12" i="4"/>
  <c r="H12" i="4" s="1"/>
  <c r="I12" i="4" s="1"/>
  <c r="J12" i="4" s="1"/>
  <c r="E13" i="4" s="1"/>
  <c r="J12" i="2"/>
  <c r="E13" i="2" s="1"/>
  <c r="J11" i="3"/>
  <c r="E12" i="3" s="1"/>
  <c r="G12" i="3" s="1"/>
  <c r="H12" i="3" s="1"/>
  <c r="I12" i="3" s="1"/>
  <c r="G11" i="1"/>
  <c r="H11" i="1" s="1"/>
  <c r="I11" i="1" s="1"/>
  <c r="K11" i="1" s="1"/>
  <c r="F12" i="1" s="1"/>
  <c r="M10" i="16" l="1"/>
  <c r="G11" i="16" s="1"/>
  <c r="N10" i="16"/>
  <c r="H11" i="16" s="1"/>
  <c r="L10" i="15"/>
  <c r="F11" i="15" s="1"/>
  <c r="I11" i="14"/>
  <c r="J11" i="14" s="1"/>
  <c r="K11" i="14" s="1"/>
  <c r="N11" i="14" s="1"/>
  <c r="H12" i="14" s="1"/>
  <c r="I12" i="13"/>
  <c r="J12" i="13" s="1"/>
  <c r="K12" i="13" s="1"/>
  <c r="N12" i="13" s="1"/>
  <c r="H13" i="13" s="1"/>
  <c r="M12" i="13"/>
  <c r="G13" i="13" s="1"/>
  <c r="L12" i="13"/>
  <c r="F13" i="13" s="1"/>
  <c r="G10" i="12"/>
  <c r="H10" i="12" s="1"/>
  <c r="I10" i="12" s="1"/>
  <c r="K10" i="12" s="1"/>
  <c r="F11" i="12" s="1"/>
  <c r="J10" i="12"/>
  <c r="E11" i="12" s="1"/>
  <c r="J15" i="11"/>
  <c r="E16" i="11" s="1"/>
  <c r="G13" i="10"/>
  <c r="H13" i="10" s="1"/>
  <c r="I13" i="10" s="1"/>
  <c r="J13" i="10" s="1"/>
  <c r="E14" i="10" s="1"/>
  <c r="G12" i="5"/>
  <c r="H12" i="5" s="1"/>
  <c r="I12" i="5" s="1"/>
  <c r="K12" i="5" s="1"/>
  <c r="F13" i="5" s="1"/>
  <c r="J32" i="7"/>
  <c r="E33" i="7" s="1"/>
  <c r="G16" i="7"/>
  <c r="H16" i="7" s="1"/>
  <c r="I16" i="7" s="1"/>
  <c r="J16" i="7" s="1"/>
  <c r="E17" i="7" s="1"/>
  <c r="G35" i="6"/>
  <c r="H35" i="6" s="1"/>
  <c r="I35" i="6" s="1"/>
  <c r="K35" i="6" s="1"/>
  <c r="F36" i="6" s="1"/>
  <c r="K12" i="4"/>
  <c r="F13" i="4" s="1"/>
  <c r="G13" i="4" s="1"/>
  <c r="H13" i="4" s="1"/>
  <c r="I13" i="4" s="1"/>
  <c r="G13" i="2"/>
  <c r="H13" i="2" s="1"/>
  <c r="I13" i="2" s="1"/>
  <c r="K13" i="2" s="1"/>
  <c r="F14" i="2" s="1"/>
  <c r="J12" i="3"/>
  <c r="E13" i="3" s="1"/>
  <c r="K12" i="3"/>
  <c r="F13" i="3" s="1"/>
  <c r="J11" i="1"/>
  <c r="E12" i="1" s="1"/>
  <c r="G12" i="1" s="1"/>
  <c r="H12" i="1" s="1"/>
  <c r="I12" i="1" s="1"/>
  <c r="K12" i="1" s="1"/>
  <c r="F13" i="1" s="1"/>
  <c r="I11" i="16" l="1"/>
  <c r="J11" i="16" s="1"/>
  <c r="K11" i="16" s="1"/>
  <c r="N11" i="16" s="1"/>
  <c r="H12" i="16" s="1"/>
  <c r="L11" i="16"/>
  <c r="F12" i="16" s="1"/>
  <c r="I11" i="15"/>
  <c r="J11" i="15" s="1"/>
  <c r="K11" i="15" s="1"/>
  <c r="N11" i="15" s="1"/>
  <c r="H12" i="15" s="1"/>
  <c r="L11" i="14"/>
  <c r="F12" i="14" s="1"/>
  <c r="M11" i="14"/>
  <c r="G12" i="14" s="1"/>
  <c r="I13" i="13"/>
  <c r="J13" i="13" s="1"/>
  <c r="K13" i="13" s="1"/>
  <c r="N13" i="13" s="1"/>
  <c r="H14" i="13" s="1"/>
  <c r="L13" i="13"/>
  <c r="F14" i="13" s="1"/>
  <c r="M13" i="13"/>
  <c r="G14" i="13" s="1"/>
  <c r="G11" i="12"/>
  <c r="H11" i="12" s="1"/>
  <c r="I11" i="12" s="1"/>
  <c r="J11" i="12" s="1"/>
  <c r="E12" i="12" s="1"/>
  <c r="G16" i="11"/>
  <c r="H16" i="11" s="1"/>
  <c r="I16" i="11" s="1"/>
  <c r="K16" i="11" s="1"/>
  <c r="F17" i="11" s="1"/>
  <c r="K13" i="10"/>
  <c r="F14" i="10" s="1"/>
  <c r="G14" i="10"/>
  <c r="H14" i="10" s="1"/>
  <c r="I14" i="10" s="1"/>
  <c r="K14" i="10" s="1"/>
  <c r="F15" i="10" s="1"/>
  <c r="K16" i="7"/>
  <c r="F17" i="7" s="1"/>
  <c r="J12" i="5"/>
  <c r="E13" i="5" s="1"/>
  <c r="G33" i="7"/>
  <c r="H33" i="7" s="1"/>
  <c r="I33" i="7" s="1"/>
  <c r="K33" i="7" s="1"/>
  <c r="F34" i="7" s="1"/>
  <c r="J33" i="7"/>
  <c r="E34" i="7" s="1"/>
  <c r="G17" i="7"/>
  <c r="H17" i="7" s="1"/>
  <c r="I17" i="7" s="1"/>
  <c r="K17" i="7" s="1"/>
  <c r="F18" i="7" s="1"/>
  <c r="J35" i="6"/>
  <c r="E36" i="6" s="1"/>
  <c r="K13" i="4"/>
  <c r="F14" i="4" s="1"/>
  <c r="J13" i="4"/>
  <c r="E14" i="4" s="1"/>
  <c r="J13" i="2"/>
  <c r="E14" i="2" s="1"/>
  <c r="J12" i="1"/>
  <c r="E13" i="1" s="1"/>
  <c r="G13" i="1" s="1"/>
  <c r="H13" i="1" s="1"/>
  <c r="I13" i="1" s="1"/>
  <c r="J13" i="1" s="1"/>
  <c r="E14" i="1" s="1"/>
  <c r="G13" i="3"/>
  <c r="H13" i="3" s="1"/>
  <c r="I13" i="3" s="1"/>
  <c r="J13" i="3" s="1"/>
  <c r="E14" i="3" s="1"/>
  <c r="M11" i="16" l="1"/>
  <c r="G12" i="16" s="1"/>
  <c r="I12" i="16" s="1"/>
  <c r="J12" i="16" s="1"/>
  <c r="K12" i="16" s="1"/>
  <c r="L11" i="15"/>
  <c r="F12" i="15" s="1"/>
  <c r="M11" i="15"/>
  <c r="G12" i="15" s="1"/>
  <c r="I12" i="14"/>
  <c r="J12" i="14" s="1"/>
  <c r="K12" i="14" s="1"/>
  <c r="N12" i="14" s="1"/>
  <c r="H13" i="14" s="1"/>
  <c r="M12" i="14"/>
  <c r="G13" i="14" s="1"/>
  <c r="L12" i="14"/>
  <c r="F13" i="14" s="1"/>
  <c r="I14" i="13"/>
  <c r="J14" i="13" s="1"/>
  <c r="K14" i="13" s="1"/>
  <c r="N14" i="13" s="1"/>
  <c r="H15" i="13" s="1"/>
  <c r="M14" i="13"/>
  <c r="G15" i="13" s="1"/>
  <c r="L14" i="13"/>
  <c r="F15" i="13" s="1"/>
  <c r="K11" i="12"/>
  <c r="F12" i="12" s="1"/>
  <c r="G12" i="12"/>
  <c r="H12" i="12" s="1"/>
  <c r="I12" i="12" s="1"/>
  <c r="J12" i="12" s="1"/>
  <c r="E13" i="12" s="1"/>
  <c r="J16" i="11"/>
  <c r="E17" i="11" s="1"/>
  <c r="G17" i="11" s="1"/>
  <c r="H17" i="11" s="1"/>
  <c r="I17" i="11" s="1"/>
  <c r="J17" i="11" s="1"/>
  <c r="E18" i="11" s="1"/>
  <c r="J14" i="10"/>
  <c r="E15" i="10" s="1"/>
  <c r="K13" i="3"/>
  <c r="F14" i="3" s="1"/>
  <c r="G14" i="3" s="1"/>
  <c r="H14" i="3" s="1"/>
  <c r="I14" i="3" s="1"/>
  <c r="J14" i="3" s="1"/>
  <c r="E15" i="3" s="1"/>
  <c r="G13" i="5"/>
  <c r="H13" i="5" s="1"/>
  <c r="I13" i="5" s="1"/>
  <c r="K13" i="5" s="1"/>
  <c r="F14" i="5" s="1"/>
  <c r="J13" i="5"/>
  <c r="E14" i="5" s="1"/>
  <c r="G34" i="7"/>
  <c r="H34" i="7" s="1"/>
  <c r="I34" i="7" s="1"/>
  <c r="J34" i="7" s="1"/>
  <c r="E35" i="7" s="1"/>
  <c r="J17" i="7"/>
  <c r="E18" i="7" s="1"/>
  <c r="G36" i="6"/>
  <c r="H36" i="6" s="1"/>
  <c r="I36" i="6" s="1"/>
  <c r="K36" i="6" s="1"/>
  <c r="F37" i="6" s="1"/>
  <c r="G14" i="4"/>
  <c r="H14" i="4" s="1"/>
  <c r="I14" i="4" s="1"/>
  <c r="K14" i="4" s="1"/>
  <c r="F15" i="4" s="1"/>
  <c r="G14" i="2"/>
  <c r="H14" i="2" s="1"/>
  <c r="I14" i="2" s="1"/>
  <c r="K14" i="2" s="1"/>
  <c r="F15" i="2" s="1"/>
  <c r="K14" i="3"/>
  <c r="F15" i="3" s="1"/>
  <c r="G15" i="3" s="1"/>
  <c r="H15" i="3" s="1"/>
  <c r="I15" i="3" s="1"/>
  <c r="J15" i="3" s="1"/>
  <c r="E16" i="3" s="1"/>
  <c r="K13" i="1"/>
  <c r="F14" i="1" s="1"/>
  <c r="G14" i="1" s="1"/>
  <c r="H14" i="1" s="1"/>
  <c r="I14" i="1" s="1"/>
  <c r="K14" i="1" s="1"/>
  <c r="F15" i="1" s="1"/>
  <c r="M12" i="16" l="1"/>
  <c r="G13" i="16" s="1"/>
  <c r="N12" i="16"/>
  <c r="H13" i="16" s="1"/>
  <c r="L12" i="16"/>
  <c r="F13" i="16" s="1"/>
  <c r="I13" i="16"/>
  <c r="J13" i="16" s="1"/>
  <c r="K13" i="16" s="1"/>
  <c r="N13" i="16" s="1"/>
  <c r="H14" i="16" s="1"/>
  <c r="I12" i="15"/>
  <c r="J12" i="15" s="1"/>
  <c r="K12" i="15" s="1"/>
  <c r="N12" i="15"/>
  <c r="H13" i="15" s="1"/>
  <c r="M12" i="15"/>
  <c r="G13" i="15" s="1"/>
  <c r="L12" i="15"/>
  <c r="F13" i="15" s="1"/>
  <c r="I13" i="14"/>
  <c r="J13" i="14" s="1"/>
  <c r="K13" i="14" s="1"/>
  <c r="N13" i="14" s="1"/>
  <c r="H14" i="14" s="1"/>
  <c r="I15" i="13"/>
  <c r="J15" i="13" s="1"/>
  <c r="K15" i="13" s="1"/>
  <c r="N15" i="13" s="1"/>
  <c r="H16" i="13" s="1"/>
  <c r="L15" i="13"/>
  <c r="F16" i="13" s="1"/>
  <c r="M15" i="13"/>
  <c r="G16" i="13" s="1"/>
  <c r="K12" i="12"/>
  <c r="F13" i="12" s="1"/>
  <c r="G13" i="12"/>
  <c r="H13" i="12" s="1"/>
  <c r="I13" i="12" s="1"/>
  <c r="K13" i="12" s="1"/>
  <c r="F14" i="12" s="1"/>
  <c r="K17" i="11"/>
  <c r="F18" i="11" s="1"/>
  <c r="G18" i="11" s="1"/>
  <c r="H18" i="11" s="1"/>
  <c r="I18" i="11" s="1"/>
  <c r="J18" i="11" s="1"/>
  <c r="E19" i="11" s="1"/>
  <c r="G15" i="10"/>
  <c r="H15" i="10" s="1"/>
  <c r="I15" i="10" s="1"/>
  <c r="K15" i="10" s="1"/>
  <c r="F16" i="10" s="1"/>
  <c r="J14" i="1"/>
  <c r="E15" i="1" s="1"/>
  <c r="G15" i="1" s="1"/>
  <c r="H15" i="1" s="1"/>
  <c r="I15" i="1" s="1"/>
  <c r="K15" i="1" s="1"/>
  <c r="F16" i="1" s="1"/>
  <c r="J14" i="2"/>
  <c r="E15" i="2" s="1"/>
  <c r="G15" i="2" s="1"/>
  <c r="H15" i="2" s="1"/>
  <c r="I15" i="2" s="1"/>
  <c r="K15" i="2" s="1"/>
  <c r="F16" i="2" s="1"/>
  <c r="K34" i="7"/>
  <c r="F35" i="7" s="1"/>
  <c r="G14" i="5"/>
  <c r="H14" i="5" s="1"/>
  <c r="I14" i="5" s="1"/>
  <c r="K14" i="5" s="1"/>
  <c r="F15" i="5" s="1"/>
  <c r="G35" i="7"/>
  <c r="H35" i="7" s="1"/>
  <c r="I35" i="7" s="1"/>
  <c r="J35" i="7" s="1"/>
  <c r="E36" i="7" s="1"/>
  <c r="G18" i="7"/>
  <c r="H18" i="7" s="1"/>
  <c r="I18" i="7" s="1"/>
  <c r="K18" i="7" s="1"/>
  <c r="J36" i="6"/>
  <c r="E37" i="6" s="1"/>
  <c r="J14" i="4"/>
  <c r="E15" i="4" s="1"/>
  <c r="K15" i="3"/>
  <c r="F16" i="3" s="1"/>
  <c r="G16" i="3" s="1"/>
  <c r="H16" i="3" s="1"/>
  <c r="I16" i="3" s="1"/>
  <c r="K16" i="3" s="1"/>
  <c r="F17" i="3" s="1"/>
  <c r="L13" i="16" l="1"/>
  <c r="F14" i="16" s="1"/>
  <c r="M13" i="16"/>
  <c r="G14" i="16" s="1"/>
  <c r="I13" i="15"/>
  <c r="J13" i="15" s="1"/>
  <c r="K13" i="15" s="1"/>
  <c r="N13" i="15" s="1"/>
  <c r="H14" i="15" s="1"/>
  <c r="L13" i="14"/>
  <c r="F14" i="14" s="1"/>
  <c r="M13" i="14"/>
  <c r="G14" i="14" s="1"/>
  <c r="I16" i="13"/>
  <c r="J16" i="13" s="1"/>
  <c r="K16" i="13" s="1"/>
  <c r="N16" i="13" s="1"/>
  <c r="H17" i="13" s="1"/>
  <c r="L16" i="13"/>
  <c r="F17" i="13" s="1"/>
  <c r="M16" i="13"/>
  <c r="G17" i="13" s="1"/>
  <c r="J15" i="2"/>
  <c r="E16" i="2" s="1"/>
  <c r="G16" i="2" s="1"/>
  <c r="H16" i="2" s="1"/>
  <c r="I16" i="2" s="1"/>
  <c r="K16" i="2" s="1"/>
  <c r="F17" i="2" s="1"/>
  <c r="J13" i="12"/>
  <c r="E14" i="12" s="1"/>
  <c r="K18" i="11"/>
  <c r="F19" i="11" s="1"/>
  <c r="G19" i="11" s="1"/>
  <c r="H19" i="11" s="1"/>
  <c r="I19" i="11" s="1"/>
  <c r="J19" i="11" s="1"/>
  <c r="E20" i="11" s="1"/>
  <c r="J15" i="10"/>
  <c r="E16" i="10" s="1"/>
  <c r="G16" i="10" s="1"/>
  <c r="H16" i="10" s="1"/>
  <c r="I16" i="10" s="1"/>
  <c r="J16" i="10" s="1"/>
  <c r="E17" i="10" s="1"/>
  <c r="J15" i="1"/>
  <c r="E16" i="1" s="1"/>
  <c r="K35" i="7"/>
  <c r="F36" i="7" s="1"/>
  <c r="J14" i="5"/>
  <c r="E15" i="5" s="1"/>
  <c r="G36" i="7"/>
  <c r="H36" i="7" s="1"/>
  <c r="I36" i="7" s="1"/>
  <c r="J36" i="7" s="1"/>
  <c r="E37" i="7" s="1"/>
  <c r="J18" i="7"/>
  <c r="G37" i="6"/>
  <c r="H37" i="6" s="1"/>
  <c r="I37" i="6" s="1"/>
  <c r="K37" i="6" s="1"/>
  <c r="F38" i="6" s="1"/>
  <c r="G15" i="4"/>
  <c r="H15" i="4" s="1"/>
  <c r="I15" i="4" s="1"/>
  <c r="K15" i="4" s="1"/>
  <c r="F16" i="4" s="1"/>
  <c r="J16" i="3"/>
  <c r="E17" i="3" s="1"/>
  <c r="G16" i="1"/>
  <c r="H16" i="1" s="1"/>
  <c r="I16" i="1" s="1"/>
  <c r="K16" i="1" s="1"/>
  <c r="F17" i="1" s="1"/>
  <c r="I14" i="16" l="1"/>
  <c r="J14" i="16" s="1"/>
  <c r="K14" i="16" s="1"/>
  <c r="M14" i="16" s="1"/>
  <c r="G15" i="16" s="1"/>
  <c r="L13" i="15"/>
  <c r="F14" i="15" s="1"/>
  <c r="M13" i="15"/>
  <c r="G14" i="15" s="1"/>
  <c r="I14" i="14"/>
  <c r="J14" i="14" s="1"/>
  <c r="K14" i="14" s="1"/>
  <c r="L14" i="14"/>
  <c r="F15" i="14" s="1"/>
  <c r="N14" i="14"/>
  <c r="H15" i="14" s="1"/>
  <c r="M14" i="14"/>
  <c r="G15" i="14" s="1"/>
  <c r="I17" i="13"/>
  <c r="J17" i="13" s="1"/>
  <c r="K17" i="13" s="1"/>
  <c r="N17" i="13" s="1"/>
  <c r="L17" i="13"/>
  <c r="M17" i="13"/>
  <c r="G14" i="12"/>
  <c r="H14" i="12" s="1"/>
  <c r="I14" i="12" s="1"/>
  <c r="K14" i="12" s="1"/>
  <c r="F15" i="12" s="1"/>
  <c r="K19" i="11"/>
  <c r="F20" i="11" s="1"/>
  <c r="G20" i="11" s="1"/>
  <c r="H20" i="11" s="1"/>
  <c r="I20" i="11" s="1"/>
  <c r="J20" i="11" s="1"/>
  <c r="E21" i="11" s="1"/>
  <c r="K16" i="10"/>
  <c r="F17" i="10" s="1"/>
  <c r="G17" i="10" s="1"/>
  <c r="H17" i="10" s="1"/>
  <c r="I17" i="10" s="1"/>
  <c r="J17" i="10" s="1"/>
  <c r="J15" i="4"/>
  <c r="E16" i="4" s="1"/>
  <c r="K36" i="7"/>
  <c r="F37" i="7" s="1"/>
  <c r="G15" i="5"/>
  <c r="H15" i="5" s="1"/>
  <c r="I15" i="5" s="1"/>
  <c r="K15" i="5" s="1"/>
  <c r="F16" i="5" s="1"/>
  <c r="J15" i="5"/>
  <c r="E16" i="5" s="1"/>
  <c r="G37" i="7"/>
  <c r="H37" i="7" s="1"/>
  <c r="I37" i="7" s="1"/>
  <c r="J37" i="7"/>
  <c r="E38" i="7" s="1"/>
  <c r="K37" i="7"/>
  <c r="F38" i="7" s="1"/>
  <c r="J37" i="6"/>
  <c r="E38" i="6" s="1"/>
  <c r="G16" i="4"/>
  <c r="H16" i="4" s="1"/>
  <c r="I16" i="4" s="1"/>
  <c r="K16" i="4" s="1"/>
  <c r="F17" i="4" s="1"/>
  <c r="J16" i="2"/>
  <c r="E17" i="2" s="1"/>
  <c r="G17" i="3"/>
  <c r="H17" i="3" s="1"/>
  <c r="I17" i="3" s="1"/>
  <c r="K17" i="3" s="1"/>
  <c r="F18" i="3" s="1"/>
  <c r="J16" i="1"/>
  <c r="E17" i="1" s="1"/>
  <c r="G17" i="1" s="1"/>
  <c r="H17" i="1" s="1"/>
  <c r="I17" i="1" s="1"/>
  <c r="J17" i="1" s="1"/>
  <c r="N14" i="16" l="1"/>
  <c r="H15" i="16" s="1"/>
  <c r="L14" i="16"/>
  <c r="F15" i="16" s="1"/>
  <c r="I14" i="15"/>
  <c r="J14" i="15" s="1"/>
  <c r="K14" i="15" s="1"/>
  <c r="N14" i="15"/>
  <c r="H15" i="15" s="1"/>
  <c r="M14" i="15"/>
  <c r="G15" i="15" s="1"/>
  <c r="L14" i="15"/>
  <c r="F15" i="15" s="1"/>
  <c r="I15" i="14"/>
  <c r="J15" i="14" s="1"/>
  <c r="K15" i="14" s="1"/>
  <c r="N15" i="14" s="1"/>
  <c r="H16" i="14" s="1"/>
  <c r="J14" i="12"/>
  <c r="E15" i="12" s="1"/>
  <c r="K20" i="11"/>
  <c r="F21" i="11" s="1"/>
  <c r="G21" i="11" s="1"/>
  <c r="H21" i="11" s="1"/>
  <c r="I21" i="11" s="1"/>
  <c r="J21" i="11" s="1"/>
  <c r="E22" i="11" s="1"/>
  <c r="K17" i="10"/>
  <c r="G16" i="5"/>
  <c r="H16" i="5" s="1"/>
  <c r="I16" i="5" s="1"/>
  <c r="K16" i="5" s="1"/>
  <c r="F17" i="5" s="1"/>
  <c r="G38" i="7"/>
  <c r="H38" i="7" s="1"/>
  <c r="I38" i="7" s="1"/>
  <c r="K38" i="7" s="1"/>
  <c r="F39" i="7" s="1"/>
  <c r="G38" i="6"/>
  <c r="H38" i="6" s="1"/>
  <c r="I38" i="6" s="1"/>
  <c r="K38" i="6" s="1"/>
  <c r="F39" i="6" s="1"/>
  <c r="J38" i="6"/>
  <c r="E39" i="6" s="1"/>
  <c r="J16" i="4"/>
  <c r="E17" i="4" s="1"/>
  <c r="G17" i="2"/>
  <c r="H17" i="2" s="1"/>
  <c r="I17" i="2" s="1"/>
  <c r="K17" i="2" s="1"/>
  <c r="F18" i="2" s="1"/>
  <c r="J17" i="2"/>
  <c r="E18" i="2" s="1"/>
  <c r="J17" i="3"/>
  <c r="E18" i="3" s="1"/>
  <c r="K17" i="1"/>
  <c r="I15" i="16" l="1"/>
  <c r="J15" i="16" s="1"/>
  <c r="K15" i="16" s="1"/>
  <c r="N15" i="16" s="1"/>
  <c r="H16" i="16" s="1"/>
  <c r="I15" i="15"/>
  <c r="J15" i="15" s="1"/>
  <c r="K15" i="15" s="1"/>
  <c r="N15" i="15" s="1"/>
  <c r="H16" i="15" s="1"/>
  <c r="L15" i="14"/>
  <c r="F16" i="14" s="1"/>
  <c r="M15" i="14"/>
  <c r="G16" i="14" s="1"/>
  <c r="G15" i="12"/>
  <c r="H15" i="12" s="1"/>
  <c r="I15" i="12" s="1"/>
  <c r="K15" i="12" s="1"/>
  <c r="F16" i="12" s="1"/>
  <c r="J15" i="12"/>
  <c r="E16" i="12" s="1"/>
  <c r="K21" i="11"/>
  <c r="F22" i="11" s="1"/>
  <c r="J16" i="5"/>
  <c r="E17" i="5" s="1"/>
  <c r="J38" i="7"/>
  <c r="E39" i="7" s="1"/>
  <c r="G39" i="6"/>
  <c r="H39" i="6" s="1"/>
  <c r="I39" i="6" s="1"/>
  <c r="J39" i="6" s="1"/>
  <c r="E40" i="6" s="1"/>
  <c r="G17" i="4"/>
  <c r="H17" i="4" s="1"/>
  <c r="I17" i="4" s="1"/>
  <c r="K17" i="4" s="1"/>
  <c r="F18" i="4" s="1"/>
  <c r="G18" i="2"/>
  <c r="H18" i="2" s="1"/>
  <c r="I18" i="2" s="1"/>
  <c r="K18" i="2" s="1"/>
  <c r="F19" i="2" s="1"/>
  <c r="G18" i="3"/>
  <c r="H18" i="3" s="1"/>
  <c r="I18" i="3" s="1"/>
  <c r="K18" i="3" s="1"/>
  <c r="F19" i="3" s="1"/>
  <c r="M15" i="16" l="1"/>
  <c r="G16" i="16" s="1"/>
  <c r="L15" i="16"/>
  <c r="F16" i="16" s="1"/>
  <c r="L15" i="15"/>
  <c r="F16" i="15" s="1"/>
  <c r="M15" i="15"/>
  <c r="G16" i="15" s="1"/>
  <c r="I16" i="14"/>
  <c r="J16" i="14" s="1"/>
  <c r="K16" i="14" s="1"/>
  <c r="N16" i="14" s="1"/>
  <c r="H17" i="14" s="1"/>
  <c r="G16" i="12"/>
  <c r="H16" i="12" s="1"/>
  <c r="I16" i="12" s="1"/>
  <c r="J16" i="12" s="1"/>
  <c r="E17" i="12" s="1"/>
  <c r="G22" i="11"/>
  <c r="H22" i="11" s="1"/>
  <c r="I22" i="11" s="1"/>
  <c r="J22" i="11" s="1"/>
  <c r="E23" i="11" s="1"/>
  <c r="J17" i="4"/>
  <c r="E18" i="4" s="1"/>
  <c r="G17" i="5"/>
  <c r="H17" i="5" s="1"/>
  <c r="I17" i="5" s="1"/>
  <c r="K17" i="5" s="1"/>
  <c r="F18" i="5" s="1"/>
  <c r="J17" i="5"/>
  <c r="E18" i="5" s="1"/>
  <c r="G39" i="7"/>
  <c r="H39" i="7" s="1"/>
  <c r="I39" i="7" s="1"/>
  <c r="K39" i="7" s="1"/>
  <c r="F40" i="7" s="1"/>
  <c r="K39" i="6"/>
  <c r="F40" i="6" s="1"/>
  <c r="J18" i="2"/>
  <c r="E19" i="2" s="1"/>
  <c r="J18" i="3"/>
  <c r="E19" i="3" s="1"/>
  <c r="I16" i="16" l="1"/>
  <c r="J16" i="16" s="1"/>
  <c r="K16" i="16" s="1"/>
  <c r="N16" i="16" s="1"/>
  <c r="H17" i="16" s="1"/>
  <c r="I16" i="15"/>
  <c r="J16" i="15" s="1"/>
  <c r="K16" i="15" s="1"/>
  <c r="N16" i="15" s="1"/>
  <c r="H17" i="15" s="1"/>
  <c r="L16" i="14"/>
  <c r="F17" i="14" s="1"/>
  <c r="M16" i="14"/>
  <c r="G17" i="14" s="1"/>
  <c r="I17" i="14"/>
  <c r="J17" i="14" s="1"/>
  <c r="K17" i="14" s="1"/>
  <c r="N17" i="14" s="1"/>
  <c r="K16" i="12"/>
  <c r="F17" i="12" s="1"/>
  <c r="G17" i="12"/>
  <c r="H17" i="12" s="1"/>
  <c r="I17" i="12" s="1"/>
  <c r="J17" i="12" s="1"/>
  <c r="E18" i="12" s="1"/>
  <c r="K22" i="11"/>
  <c r="F23" i="11" s="1"/>
  <c r="G18" i="5"/>
  <c r="H18" i="5" s="1"/>
  <c r="I18" i="5" s="1"/>
  <c r="J18" i="5" s="1"/>
  <c r="E19" i="5" s="1"/>
  <c r="K18" i="5"/>
  <c r="F19" i="5" s="1"/>
  <c r="G18" i="4"/>
  <c r="H18" i="4" s="1"/>
  <c r="I18" i="4" s="1"/>
  <c r="K18" i="4" s="1"/>
  <c r="F19" i="4" s="1"/>
  <c r="J39" i="7"/>
  <c r="E40" i="7" s="1"/>
  <c r="G40" i="6"/>
  <c r="H40" i="6" s="1"/>
  <c r="I40" i="6" s="1"/>
  <c r="J40" i="6" s="1"/>
  <c r="E41" i="6" s="1"/>
  <c r="G19" i="2"/>
  <c r="H19" i="2" s="1"/>
  <c r="I19" i="2" s="1"/>
  <c r="K19" i="2" s="1"/>
  <c r="F20" i="2" s="1"/>
  <c r="J19" i="2"/>
  <c r="E20" i="2" s="1"/>
  <c r="G19" i="3"/>
  <c r="H19" i="3" s="1"/>
  <c r="I19" i="3" s="1"/>
  <c r="K19" i="3" s="1"/>
  <c r="F20" i="3" s="1"/>
  <c r="L16" i="16" l="1"/>
  <c r="F17" i="16" s="1"/>
  <c r="M16" i="16"/>
  <c r="G17" i="16" s="1"/>
  <c r="I17" i="16"/>
  <c r="J17" i="16" s="1"/>
  <c r="K17" i="16" s="1"/>
  <c r="M17" i="16" s="1"/>
  <c r="L16" i="15"/>
  <c r="F17" i="15" s="1"/>
  <c r="M16" i="15"/>
  <c r="G17" i="15" s="1"/>
  <c r="L17" i="14"/>
  <c r="M17" i="14"/>
  <c r="K17" i="12"/>
  <c r="F18" i="12" s="1"/>
  <c r="G18" i="12"/>
  <c r="H18" i="12" s="1"/>
  <c r="I18" i="12" s="1"/>
  <c r="K18" i="12" s="1"/>
  <c r="F19" i="12" s="1"/>
  <c r="G23" i="11"/>
  <c r="H23" i="11" s="1"/>
  <c r="I23" i="11" s="1"/>
  <c r="J23" i="11" s="1"/>
  <c r="E24" i="11" s="1"/>
  <c r="G19" i="5"/>
  <c r="H19" i="5" s="1"/>
  <c r="I19" i="5" s="1"/>
  <c r="K19" i="5" s="1"/>
  <c r="F20" i="5" s="1"/>
  <c r="J19" i="5"/>
  <c r="E20" i="5" s="1"/>
  <c r="J19" i="3"/>
  <c r="E20" i="3" s="1"/>
  <c r="J18" i="4"/>
  <c r="E19" i="4" s="1"/>
  <c r="G40" i="7"/>
  <c r="H40" i="7" s="1"/>
  <c r="I40" i="7" s="1"/>
  <c r="K40" i="7" s="1"/>
  <c r="F41" i="7" s="1"/>
  <c r="K40" i="6"/>
  <c r="F41" i="6" s="1"/>
  <c r="G20" i="2"/>
  <c r="H20" i="2" s="1"/>
  <c r="I20" i="2" s="1"/>
  <c r="K20" i="2" s="1"/>
  <c r="F21" i="2" s="1"/>
  <c r="G20" i="3"/>
  <c r="H20" i="3" s="1"/>
  <c r="I20" i="3" s="1"/>
  <c r="J20" i="3" s="1"/>
  <c r="E21" i="3" s="1"/>
  <c r="L17" i="16" l="1"/>
  <c r="N17" i="16"/>
  <c r="I17" i="15"/>
  <c r="J17" i="15" s="1"/>
  <c r="K17" i="15" s="1"/>
  <c r="N17" i="15" s="1"/>
  <c r="J18" i="12"/>
  <c r="E19" i="12" s="1"/>
  <c r="K23" i="11"/>
  <c r="F24" i="11" s="1"/>
  <c r="K20" i="3"/>
  <c r="F21" i="3" s="1"/>
  <c r="G19" i="4"/>
  <c r="H19" i="4" s="1"/>
  <c r="I19" i="4" s="1"/>
  <c r="K19" i="4" s="1"/>
  <c r="F20" i="4" s="1"/>
  <c r="J19" i="4"/>
  <c r="E20" i="4" s="1"/>
  <c r="G20" i="5"/>
  <c r="H20" i="5" s="1"/>
  <c r="I20" i="5" s="1"/>
  <c r="J20" i="5" s="1"/>
  <c r="E21" i="5" s="1"/>
  <c r="J40" i="7"/>
  <c r="E41" i="7" s="1"/>
  <c r="G41" i="6"/>
  <c r="H41" i="6" s="1"/>
  <c r="I41" i="6" s="1"/>
  <c r="J41" i="6" s="1"/>
  <c r="E42" i="6" s="1"/>
  <c r="J20" i="2"/>
  <c r="E21" i="2" s="1"/>
  <c r="G21" i="2" s="1"/>
  <c r="H21" i="2" s="1"/>
  <c r="I21" i="2" s="1"/>
  <c r="K21" i="2" s="1"/>
  <c r="G21" i="3"/>
  <c r="H21" i="3" s="1"/>
  <c r="I21" i="3" s="1"/>
  <c r="J21" i="3" s="1"/>
  <c r="L17" i="15" l="1"/>
  <c r="M17" i="15"/>
  <c r="G19" i="12"/>
  <c r="H19" i="12" s="1"/>
  <c r="I19" i="12" s="1"/>
  <c r="K19" i="12" s="1"/>
  <c r="F20" i="12" s="1"/>
  <c r="G24" i="11"/>
  <c r="H24" i="11" s="1"/>
  <c r="I24" i="11" s="1"/>
  <c r="J24" i="11" s="1"/>
  <c r="E25" i="11" s="1"/>
  <c r="K20" i="5"/>
  <c r="F21" i="5" s="1"/>
  <c r="G21" i="5" s="1"/>
  <c r="H21" i="5" s="1"/>
  <c r="I21" i="5" s="1"/>
  <c r="G20" i="4"/>
  <c r="H20" i="4" s="1"/>
  <c r="I20" i="4" s="1"/>
  <c r="K20" i="4" s="1"/>
  <c r="F21" i="4" s="1"/>
  <c r="J20" i="4"/>
  <c r="E21" i="4" s="1"/>
  <c r="K21" i="3"/>
  <c r="G41" i="7"/>
  <c r="H41" i="7" s="1"/>
  <c r="I41" i="7" s="1"/>
  <c r="K41" i="7" s="1"/>
  <c r="K41" i="6"/>
  <c r="F42" i="6" s="1"/>
  <c r="J21" i="2"/>
  <c r="J19" i="12" l="1"/>
  <c r="E20" i="12" s="1"/>
  <c r="G20" i="12"/>
  <c r="H20" i="12" s="1"/>
  <c r="I20" i="12" s="1"/>
  <c r="J20" i="12" s="1"/>
  <c r="E21" i="12" s="1"/>
  <c r="K20" i="12"/>
  <c r="F21" i="12" s="1"/>
  <c r="K24" i="11"/>
  <c r="F25" i="11" s="1"/>
  <c r="K21" i="5"/>
  <c r="J21" i="5"/>
  <c r="J41" i="7"/>
  <c r="G21" i="4"/>
  <c r="H21" i="4" s="1"/>
  <c r="I21" i="4" s="1"/>
  <c r="K21" i="4" s="1"/>
  <c r="J21" i="4"/>
  <c r="G42" i="6"/>
  <c r="H42" i="6" s="1"/>
  <c r="I42" i="6" s="1"/>
  <c r="J42" i="6" s="1"/>
  <c r="E43" i="6" s="1"/>
  <c r="G21" i="12" l="1"/>
  <c r="H21" i="12" s="1"/>
  <c r="I21" i="12" s="1"/>
  <c r="J21" i="12" s="1"/>
  <c r="G25" i="11"/>
  <c r="H25" i="11" s="1"/>
  <c r="I25" i="11" s="1"/>
  <c r="J25" i="11" s="1"/>
  <c r="E26" i="11" s="1"/>
  <c r="K42" i="6"/>
  <c r="F43" i="6" s="1"/>
  <c r="K21" i="12" l="1"/>
  <c r="K25" i="11"/>
  <c r="F26" i="11" s="1"/>
  <c r="G26" i="11" s="1"/>
  <c r="H26" i="11" s="1"/>
  <c r="I26" i="11" s="1"/>
  <c r="J26" i="11" s="1"/>
  <c r="E27" i="11" s="1"/>
  <c r="G43" i="6"/>
  <c r="H43" i="6" s="1"/>
  <c r="I43" i="6" s="1"/>
  <c r="J43" i="6" s="1"/>
  <c r="E44" i="6" s="1"/>
  <c r="K26" i="11" l="1"/>
  <c r="F27" i="11" s="1"/>
  <c r="G27" i="11"/>
  <c r="H27" i="11" s="1"/>
  <c r="I27" i="11" s="1"/>
  <c r="J27" i="11" s="1"/>
  <c r="E28" i="11" s="1"/>
  <c r="K43" i="6"/>
  <c r="F44" i="6" s="1"/>
  <c r="K27" i="11" l="1"/>
  <c r="F28" i="11" s="1"/>
  <c r="G44" i="6"/>
  <c r="H44" i="6" s="1"/>
  <c r="I44" i="6" s="1"/>
  <c r="J44" i="6" s="1"/>
  <c r="E45" i="6" s="1"/>
  <c r="G28" i="11" l="1"/>
  <c r="H28" i="11" s="1"/>
  <c r="I28" i="11" s="1"/>
  <c r="J28" i="11" s="1"/>
  <c r="E29" i="11" s="1"/>
  <c r="K44" i="6"/>
  <c r="F45" i="6" s="1"/>
  <c r="K28" i="11" l="1"/>
  <c r="F29" i="11" s="1"/>
  <c r="G29" i="11" s="1"/>
  <c r="H29" i="11" s="1"/>
  <c r="I29" i="11" s="1"/>
  <c r="J29" i="11" s="1"/>
  <c r="E30" i="11" s="1"/>
  <c r="G45" i="6"/>
  <c r="H45" i="6" s="1"/>
  <c r="I45" i="6" s="1"/>
  <c r="J45" i="6" s="1"/>
  <c r="K29" i="11" l="1"/>
  <c r="F30" i="11" s="1"/>
  <c r="K45" i="6"/>
  <c r="I3" i="6"/>
  <c r="K3" i="6" s="1"/>
  <c r="F4" i="6" s="1"/>
  <c r="J3" i="6"/>
  <c r="E4" i="6" s="1"/>
  <c r="G4" i="6" s="1"/>
  <c r="H4" i="6" s="1"/>
  <c r="I4" i="6" s="1"/>
  <c r="J4" i="6" s="1"/>
  <c r="E5" i="6" s="1"/>
  <c r="G30" i="11" l="1"/>
  <c r="H30" i="11" s="1"/>
  <c r="I30" i="11" s="1"/>
  <c r="J30" i="11" s="1"/>
  <c r="E31" i="11" s="1"/>
  <c r="K4" i="6"/>
  <c r="F5" i="6" s="1"/>
  <c r="K30" i="11" l="1"/>
  <c r="F31" i="11" s="1"/>
  <c r="G5" i="6"/>
  <c r="H5" i="6" s="1"/>
  <c r="I5" i="6" s="1"/>
  <c r="J5" i="6" s="1"/>
  <c r="E6" i="6" s="1"/>
  <c r="G31" i="11" l="1"/>
  <c r="H31" i="11" s="1"/>
  <c r="I31" i="11" s="1"/>
  <c r="J31" i="11" s="1"/>
  <c r="E32" i="11" s="1"/>
  <c r="K5" i="6"/>
  <c r="F6" i="6" s="1"/>
  <c r="K31" i="11" l="1"/>
  <c r="F32" i="11" s="1"/>
  <c r="G6" i="6"/>
  <c r="H6" i="6" s="1"/>
  <c r="I6" i="6" s="1"/>
  <c r="J6" i="6" s="1"/>
  <c r="E7" i="6" s="1"/>
  <c r="G32" i="11" l="1"/>
  <c r="H32" i="11" s="1"/>
  <c r="I32" i="11" s="1"/>
  <c r="J32" i="11" s="1"/>
  <c r="E33" i="11" s="1"/>
  <c r="K6" i="6"/>
  <c r="F7" i="6" s="1"/>
  <c r="K32" i="11" l="1"/>
  <c r="F33" i="11" s="1"/>
  <c r="G7" i="6"/>
  <c r="H7" i="6" s="1"/>
  <c r="I7" i="6" s="1"/>
  <c r="J7" i="6" s="1"/>
  <c r="E8" i="6" s="1"/>
  <c r="G33" i="11" l="1"/>
  <c r="H33" i="11" s="1"/>
  <c r="I33" i="11" s="1"/>
  <c r="J33" i="11" s="1"/>
  <c r="E34" i="11" s="1"/>
  <c r="K7" i="6"/>
  <c r="F8" i="6" s="1"/>
  <c r="K33" i="11" l="1"/>
  <c r="F34" i="11" s="1"/>
  <c r="G34" i="11" s="1"/>
  <c r="H34" i="11" s="1"/>
  <c r="I34" i="11" s="1"/>
  <c r="G8" i="6"/>
  <c r="H8" i="6" s="1"/>
  <c r="I8" i="6" s="1"/>
  <c r="J8" i="6" s="1"/>
  <c r="E9" i="6" s="1"/>
  <c r="K34" i="11" l="1"/>
  <c r="F35" i="11" s="1"/>
  <c r="J34" i="11"/>
  <c r="E35" i="11" s="1"/>
  <c r="K8" i="6"/>
  <c r="F9" i="6" s="1"/>
  <c r="G35" i="11" l="1"/>
  <c r="H35" i="11" s="1"/>
  <c r="I35" i="11" s="1"/>
  <c r="K35" i="11" s="1"/>
  <c r="F36" i="11" s="1"/>
  <c r="J35" i="11"/>
  <c r="E36" i="11" s="1"/>
  <c r="G9" i="6"/>
  <c r="H9" i="6" s="1"/>
  <c r="I9" i="6" s="1"/>
  <c r="J9" i="6" s="1"/>
  <c r="E10" i="6" s="1"/>
  <c r="G36" i="11" l="1"/>
  <c r="H36" i="11" s="1"/>
  <c r="I36" i="11" s="1"/>
  <c r="K36" i="11" s="1"/>
  <c r="F37" i="11" s="1"/>
  <c r="J36" i="11"/>
  <c r="E37" i="11" s="1"/>
  <c r="K9" i="6"/>
  <c r="F10" i="6" s="1"/>
  <c r="G37" i="11" l="1"/>
  <c r="H37" i="11" s="1"/>
  <c r="I37" i="11" s="1"/>
  <c r="K37" i="11" s="1"/>
  <c r="F38" i="11" s="1"/>
  <c r="J37" i="11"/>
  <c r="E38" i="11" s="1"/>
  <c r="G38" i="11" s="1"/>
  <c r="H38" i="11" s="1"/>
  <c r="I38" i="11" s="1"/>
  <c r="J38" i="11" s="1"/>
  <c r="E39" i="11" s="1"/>
  <c r="G10" i="6"/>
  <c r="H10" i="6" s="1"/>
  <c r="I10" i="6" s="1"/>
  <c r="J10" i="6" s="1"/>
  <c r="E11" i="6" s="1"/>
  <c r="K38" i="11" l="1"/>
  <c r="F39" i="11" s="1"/>
  <c r="K10" i="6"/>
  <c r="F11" i="6" s="1"/>
  <c r="G39" i="11" l="1"/>
  <c r="H39" i="11" s="1"/>
  <c r="I39" i="11" s="1"/>
  <c r="J39" i="11" s="1"/>
  <c r="E40" i="11" s="1"/>
  <c r="G11" i="6"/>
  <c r="H11" i="6" s="1"/>
  <c r="I11" i="6" s="1"/>
  <c r="J11" i="6" s="1"/>
  <c r="E12" i="6" s="1"/>
  <c r="K39" i="11" l="1"/>
  <c r="F40" i="11" s="1"/>
  <c r="K11" i="6"/>
  <c r="F12" i="6" s="1"/>
  <c r="G40" i="11" l="1"/>
  <c r="H40" i="11" s="1"/>
  <c r="I40" i="11" s="1"/>
  <c r="J40" i="11" s="1"/>
  <c r="E41" i="11" s="1"/>
  <c r="G12" i="6"/>
  <c r="H12" i="6" s="1"/>
  <c r="I12" i="6" s="1"/>
  <c r="J12" i="6" s="1"/>
  <c r="E13" i="6" s="1"/>
  <c r="K40" i="11" l="1"/>
  <c r="F41" i="11" s="1"/>
  <c r="K12" i="6"/>
  <c r="F13" i="6" s="1"/>
  <c r="G41" i="11" l="1"/>
  <c r="H41" i="11" s="1"/>
  <c r="I41" i="11" s="1"/>
  <c r="J41" i="11" s="1"/>
  <c r="E42" i="11" s="1"/>
  <c r="G13" i="6"/>
  <c r="H13" i="6" s="1"/>
  <c r="I13" i="6" s="1"/>
  <c r="J13" i="6" s="1"/>
  <c r="E14" i="6" s="1"/>
  <c r="K41" i="11" l="1"/>
  <c r="F42" i="11" s="1"/>
  <c r="K13" i="6"/>
  <c r="F14" i="6" s="1"/>
  <c r="G42" i="11" l="1"/>
  <c r="H42" i="11" s="1"/>
  <c r="I42" i="11" s="1"/>
  <c r="J42" i="11" s="1"/>
  <c r="E43" i="11" s="1"/>
  <c r="G14" i="6"/>
  <c r="H14" i="6" s="1"/>
  <c r="I14" i="6" s="1"/>
  <c r="J14" i="6" s="1"/>
  <c r="E15" i="6" s="1"/>
  <c r="K42" i="11" l="1"/>
  <c r="F43" i="11" s="1"/>
  <c r="K14" i="6"/>
  <c r="F15" i="6" s="1"/>
  <c r="G43" i="11" l="1"/>
  <c r="H43" i="11" s="1"/>
  <c r="I43" i="11" s="1"/>
  <c r="J43" i="11" s="1"/>
  <c r="E44" i="11" s="1"/>
  <c r="G15" i="6"/>
  <c r="H15" i="6" s="1"/>
  <c r="I15" i="6" s="1"/>
  <c r="J15" i="6" s="1"/>
  <c r="E16" i="6" s="1"/>
  <c r="K43" i="11" l="1"/>
  <c r="F44" i="11" s="1"/>
  <c r="K15" i="6"/>
  <c r="F16" i="6" s="1"/>
  <c r="G44" i="11" l="1"/>
  <c r="H44" i="11" s="1"/>
  <c r="I44" i="11" s="1"/>
  <c r="J44" i="11" s="1"/>
  <c r="E45" i="11" s="1"/>
  <c r="G16" i="6"/>
  <c r="H16" i="6" s="1"/>
  <c r="I16" i="6" s="1"/>
  <c r="J16" i="6" s="1"/>
  <c r="E17" i="6" s="1"/>
  <c r="K44" i="11" l="1"/>
  <c r="F45" i="11" s="1"/>
  <c r="K16" i="6"/>
  <c r="F17" i="6" s="1"/>
  <c r="G45" i="11" l="1"/>
  <c r="H45" i="11" s="1"/>
  <c r="I45" i="11" s="1"/>
  <c r="J45" i="11" s="1"/>
  <c r="E46" i="11" s="1"/>
  <c r="G17" i="6"/>
  <c r="H17" i="6" s="1"/>
  <c r="I17" i="6" s="1"/>
  <c r="J17" i="6" s="1"/>
  <c r="E18" i="6" s="1"/>
  <c r="K45" i="11" l="1"/>
  <c r="F46" i="11" s="1"/>
  <c r="K17" i="6"/>
  <c r="F18" i="6" s="1"/>
  <c r="G46" i="11" l="1"/>
  <c r="H46" i="11" s="1"/>
  <c r="I46" i="11" s="1"/>
  <c r="J46" i="11" s="1"/>
  <c r="E47" i="11" s="1"/>
  <c r="G18" i="6"/>
  <c r="H18" i="6" s="1"/>
  <c r="I18" i="6" s="1"/>
  <c r="J18" i="6" s="1"/>
  <c r="E19" i="6" s="1"/>
  <c r="K46" i="11" l="1"/>
  <c r="F47" i="11" s="1"/>
  <c r="K18" i="6"/>
  <c r="F19" i="6" s="1"/>
  <c r="G47" i="11" l="1"/>
  <c r="H47" i="11" s="1"/>
  <c r="I47" i="11" s="1"/>
  <c r="J47" i="11" s="1"/>
  <c r="E48" i="11" s="1"/>
  <c r="G19" i="6"/>
  <c r="H19" i="6" s="1"/>
  <c r="I19" i="6" s="1"/>
  <c r="J19" i="6" s="1"/>
  <c r="E20" i="6" s="1"/>
  <c r="K47" i="11" l="1"/>
  <c r="F48" i="11" s="1"/>
  <c r="K19" i="6"/>
  <c r="F20" i="6" s="1"/>
  <c r="G48" i="11" l="1"/>
  <c r="H48" i="11" s="1"/>
  <c r="I48" i="11" s="1"/>
  <c r="J48" i="11" s="1"/>
  <c r="E49" i="11" s="1"/>
  <c r="G20" i="6"/>
  <c r="H20" i="6" s="1"/>
  <c r="I20" i="6" s="1"/>
  <c r="J20" i="6" s="1"/>
  <c r="E21" i="6" s="1"/>
  <c r="K48" i="11" l="1"/>
  <c r="F49" i="11" s="1"/>
  <c r="K20" i="6"/>
  <c r="F21" i="6" s="1"/>
  <c r="G49" i="11" l="1"/>
  <c r="H49" i="11" s="1"/>
  <c r="I49" i="11" s="1"/>
  <c r="J49" i="11" s="1"/>
  <c r="E50" i="11" s="1"/>
  <c r="G21" i="6"/>
  <c r="H21" i="6" s="1"/>
  <c r="I21" i="6" s="1"/>
  <c r="J21" i="6" s="1"/>
  <c r="E22" i="6" s="1"/>
  <c r="K49" i="11" l="1"/>
  <c r="F50" i="11" s="1"/>
  <c r="K21" i="6"/>
  <c r="F22" i="6" s="1"/>
  <c r="G50" i="11" l="1"/>
  <c r="H50" i="11" s="1"/>
  <c r="I50" i="11" s="1"/>
  <c r="J50" i="11" s="1"/>
  <c r="E51" i="11" s="1"/>
  <c r="G22" i="6"/>
  <c r="H22" i="6" s="1"/>
  <c r="I22" i="6" s="1"/>
  <c r="J22" i="6" s="1"/>
  <c r="K50" i="11" l="1"/>
  <c r="F51" i="11" s="1"/>
  <c r="K22" i="6"/>
  <c r="G50" i="6"/>
  <c r="H50" i="6" s="1"/>
  <c r="I50" i="6" s="1"/>
  <c r="G51" i="11" l="1"/>
  <c r="H51" i="11" s="1"/>
  <c r="I51" i="11" s="1"/>
  <c r="J51" i="11" s="1"/>
  <c r="E52" i="11" s="1"/>
  <c r="K50" i="6"/>
  <c r="F51" i="6" s="1"/>
  <c r="J50" i="6"/>
  <c r="E51" i="6" s="1"/>
  <c r="K51" i="11" l="1"/>
  <c r="F52" i="11" s="1"/>
  <c r="G51" i="6"/>
  <c r="H51" i="6" s="1"/>
  <c r="I51" i="6" s="1"/>
  <c r="J51" i="6" s="1"/>
  <c r="E52" i="6" s="1"/>
  <c r="K51" i="6"/>
  <c r="F52" i="6" s="1"/>
  <c r="G52" i="11" l="1"/>
  <c r="H52" i="11" s="1"/>
  <c r="I52" i="11" s="1"/>
  <c r="J52" i="11" s="1"/>
  <c r="E53" i="11" s="1"/>
  <c r="G52" i="6"/>
  <c r="H52" i="6" s="1"/>
  <c r="I52" i="6" s="1"/>
  <c r="K52" i="6" s="1"/>
  <c r="F53" i="6" s="1"/>
  <c r="J52" i="6"/>
  <c r="E53" i="6" s="1"/>
  <c r="K52" i="11" l="1"/>
  <c r="F53" i="11" s="1"/>
  <c r="G53" i="6"/>
  <c r="H53" i="6" s="1"/>
  <c r="I53" i="6" s="1"/>
  <c r="K53" i="6" s="1"/>
  <c r="F54" i="6" s="1"/>
  <c r="G53" i="11" l="1"/>
  <c r="H53" i="11" s="1"/>
  <c r="I53" i="11" s="1"/>
  <c r="J53" i="11" s="1"/>
  <c r="J53" i="6"/>
  <c r="E54" i="6" s="1"/>
  <c r="K53" i="11" l="1"/>
  <c r="G54" i="6"/>
  <c r="H54" i="6" s="1"/>
  <c r="I54" i="6" s="1"/>
  <c r="K54" i="6" s="1"/>
  <c r="F55" i="6" s="1"/>
  <c r="J54" i="6" l="1"/>
  <c r="E55" i="6" s="1"/>
  <c r="G55" i="6" l="1"/>
  <c r="H55" i="6" s="1"/>
  <c r="I55" i="6" s="1"/>
  <c r="K55" i="6" s="1"/>
  <c r="F56" i="6" s="1"/>
  <c r="J55" i="6" l="1"/>
  <c r="E56" i="6" s="1"/>
  <c r="G56" i="6" s="1"/>
  <c r="H56" i="6" s="1"/>
  <c r="I56" i="6" s="1"/>
  <c r="K56" i="6" s="1"/>
  <c r="J56" i="6" l="1"/>
</calcChain>
</file>

<file path=xl/sharedStrings.xml><?xml version="1.0" encoding="utf-8"?>
<sst xmlns="http://schemas.openxmlformats.org/spreadsheetml/2006/main" count="270" uniqueCount="23">
  <si>
    <t>X1</t>
  </si>
  <si>
    <t>X2</t>
  </si>
  <si>
    <t>W1i</t>
  </si>
  <si>
    <t>W2i</t>
  </si>
  <si>
    <t>W1f</t>
  </si>
  <si>
    <t>W2f</t>
  </si>
  <si>
    <t>bias</t>
  </si>
  <si>
    <t>alpha</t>
  </si>
  <si>
    <t>Threshold</t>
  </si>
  <si>
    <t>K (Weighted Sum)</t>
  </si>
  <si>
    <t>D (Difference) (Z-Y)</t>
  </si>
  <si>
    <t>Serial No.</t>
  </si>
  <si>
    <t>Z (Actual Output)</t>
  </si>
  <si>
    <t>Y (Calculated Output)</t>
  </si>
  <si>
    <t>OR Gate Implementation</t>
  </si>
  <si>
    <t>NAND Gate Implementation</t>
  </si>
  <si>
    <t>AND Gate Implementation (XOR Gate Formed)</t>
  </si>
  <si>
    <t>AND Gate Implementation</t>
  </si>
  <si>
    <t>NOR Gate Implementation</t>
  </si>
  <si>
    <t>OR Gate Implementation (XNOR Gate Formed)</t>
  </si>
  <si>
    <t>X3</t>
  </si>
  <si>
    <t>W3i</t>
  </si>
  <si>
    <t>W3f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</si>
</sst>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2" borderId="1" xfId="1" applyFont="1" applyBorder="1"/>
    <xf numFmtId="0" fontId="0" fillId="3" borderId="1" xfId="2" applyFont="1" applyBorder="1"/>
    <xf numFmtId="0" fontId="0" fillId="2" borderId="12" xfId="1" applyFont="1" applyBorder="1"/>
    <xf numFmtId="0" fontId="0" fillId="0" borderId="12" xfId="0" applyBorder="1"/>
    <xf numFmtId="0" fontId="0" fillId="3" borderId="12" xfId="2" applyFont="1" applyBorder="1"/>
    <xf numFmtId="0" fontId="0" fillId="2" borderId="19" xfId="1" applyFont="1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1" fillId="2" borderId="2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7" xfId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0" fillId="2" borderId="5" xfId="1" applyFont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0" fillId="2" borderId="19" xfId="1" applyFont="1" applyBorder="1" applyAlignment="1">
      <alignment horizontal="center"/>
    </xf>
    <xf numFmtId="0" fontId="0" fillId="2" borderId="22" xfId="1" applyFont="1" applyBorder="1" applyAlignment="1">
      <alignment horizontal="center"/>
    </xf>
    <xf numFmtId="0" fontId="0" fillId="2" borderId="25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4" xfId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2" xfId="1" applyFont="1" applyBorder="1" applyAlignment="1">
      <alignment horizontal="center"/>
    </xf>
    <xf numFmtId="0" fontId="0" fillId="2" borderId="14" xfId="1" applyFont="1" applyBorder="1" applyAlignment="1">
      <alignment horizontal="center"/>
    </xf>
    <xf numFmtId="0" fontId="0" fillId="2" borderId="15" xfId="1" applyFont="1" applyBorder="1" applyAlignment="1">
      <alignment horizontal="center"/>
    </xf>
  </cellXfs>
  <cellStyles count="3">
    <cellStyle name="40% - Accent4" xfId="2" builtinId="43"/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C9A6-398E-4F3F-84BD-5FEB9B027100}">
  <dimension ref="A1:N21"/>
  <sheetViews>
    <sheetView workbookViewId="0">
      <selection activeCell="J3" sqref="J3"/>
    </sheetView>
  </sheetViews>
  <sheetFormatPr defaultRowHeight="14.4" x14ac:dyDescent="0.3"/>
  <cols>
    <col min="1" max="1" width="9.5546875" bestFit="1" customWidth="1"/>
    <col min="4" max="4" width="16.33203125" bestFit="1" customWidth="1"/>
    <col min="7" max="7" width="17.33203125" bestFit="1" customWidth="1"/>
    <col min="8" max="8" width="20.109375" bestFit="1" customWidth="1"/>
    <col min="9" max="9" width="18.44140625" bestFit="1" customWidth="1"/>
    <col min="14" max="14" width="9.88671875" bestFit="1" customWidth="1"/>
  </cols>
  <sheetData>
    <row r="1" spans="1:14" x14ac:dyDescent="0.3">
      <c r="A1" s="9" t="s">
        <v>11</v>
      </c>
      <c r="B1" s="10" t="s">
        <v>0</v>
      </c>
      <c r="C1" s="10" t="s">
        <v>1</v>
      </c>
      <c r="D1" s="11" t="s">
        <v>12</v>
      </c>
      <c r="E1" s="10" t="s">
        <v>2</v>
      </c>
      <c r="F1" s="10" t="s">
        <v>3</v>
      </c>
      <c r="G1" s="10" t="s">
        <v>9</v>
      </c>
      <c r="H1" s="11" t="s">
        <v>13</v>
      </c>
      <c r="I1" s="10" t="s">
        <v>10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</row>
    <row r="2" spans="1:14" x14ac:dyDescent="0.3">
      <c r="A2" s="35">
        <v>1</v>
      </c>
      <c r="B2" s="1">
        <v>0</v>
      </c>
      <c r="C2" s="1">
        <v>0</v>
      </c>
      <c r="D2" s="1">
        <v>0</v>
      </c>
      <c r="E2" s="1">
        <v>0.1</v>
      </c>
      <c r="F2" s="1">
        <v>0.1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0</v>
      </c>
      <c r="M2" s="1">
        <v>0.1</v>
      </c>
      <c r="N2" s="2">
        <v>0.5</v>
      </c>
    </row>
    <row r="3" spans="1:14" x14ac:dyDescent="0.3">
      <c r="A3" s="36"/>
      <c r="B3">
        <v>0</v>
      </c>
      <c r="C3">
        <v>1</v>
      </c>
      <c r="D3">
        <v>1</v>
      </c>
      <c r="E3">
        <f>J2</f>
        <v>0.1</v>
      </c>
      <c r="F3">
        <f>K2</f>
        <v>0.1</v>
      </c>
      <c r="G3">
        <f t="shared" ref="G3:G5" si="0">B3*E3+C3*F3+L3</f>
        <v>0.1</v>
      </c>
      <c r="H3">
        <f t="shared" ref="H3:H5" si="1">IF(G3&gt;N3, 1, 0)</f>
        <v>0</v>
      </c>
      <c r="I3">
        <f t="shared" ref="I3:I5" si="2">D3-H3</f>
        <v>1</v>
      </c>
      <c r="J3">
        <f t="shared" ref="J3:J5" si="3">E3+M3*I3*B3</f>
        <v>0.1</v>
      </c>
      <c r="K3">
        <f t="shared" ref="K3:K5" si="4">F3+M3*I3*C3</f>
        <v>0.2</v>
      </c>
      <c r="L3">
        <v>0</v>
      </c>
      <c r="M3">
        <v>0.1</v>
      </c>
      <c r="N3" s="3">
        <v>0.5</v>
      </c>
    </row>
    <row r="4" spans="1:14" x14ac:dyDescent="0.3">
      <c r="A4" s="36"/>
      <c r="B4">
        <v>1</v>
      </c>
      <c r="C4">
        <v>0</v>
      </c>
      <c r="D4">
        <v>1</v>
      </c>
      <c r="E4">
        <f t="shared" ref="E4:E5" si="5">J3</f>
        <v>0.1</v>
      </c>
      <c r="F4">
        <f t="shared" ref="F4:F5" si="6">K3</f>
        <v>0.2</v>
      </c>
      <c r="G4">
        <f t="shared" si="0"/>
        <v>0.1</v>
      </c>
      <c r="H4">
        <f t="shared" si="1"/>
        <v>0</v>
      </c>
      <c r="I4">
        <f t="shared" si="2"/>
        <v>1</v>
      </c>
      <c r="J4">
        <f t="shared" si="3"/>
        <v>0.2</v>
      </c>
      <c r="K4">
        <f t="shared" si="4"/>
        <v>0.2</v>
      </c>
      <c r="L4">
        <v>0</v>
      </c>
      <c r="M4">
        <v>0.1</v>
      </c>
      <c r="N4" s="3">
        <v>0.5</v>
      </c>
    </row>
    <row r="5" spans="1:14" x14ac:dyDescent="0.3">
      <c r="A5" s="37"/>
      <c r="B5">
        <v>1</v>
      </c>
      <c r="C5">
        <v>1</v>
      </c>
      <c r="D5">
        <v>1</v>
      </c>
      <c r="E5">
        <f t="shared" si="5"/>
        <v>0.2</v>
      </c>
      <c r="F5">
        <f t="shared" si="6"/>
        <v>0.2</v>
      </c>
      <c r="G5">
        <f t="shared" si="0"/>
        <v>0.4</v>
      </c>
      <c r="H5">
        <f t="shared" si="1"/>
        <v>0</v>
      </c>
      <c r="I5">
        <f t="shared" si="2"/>
        <v>1</v>
      </c>
      <c r="J5">
        <f t="shared" si="3"/>
        <v>0.30000000000000004</v>
      </c>
      <c r="K5">
        <f t="shared" si="4"/>
        <v>0.30000000000000004</v>
      </c>
      <c r="L5">
        <v>0</v>
      </c>
      <c r="M5">
        <v>0.1</v>
      </c>
      <c r="N5" s="3">
        <v>0.5</v>
      </c>
    </row>
    <row r="6" spans="1:14" x14ac:dyDescent="0.3">
      <c r="A6" s="35">
        <v>2</v>
      </c>
      <c r="B6" s="1">
        <v>0</v>
      </c>
      <c r="C6" s="1">
        <v>0</v>
      </c>
      <c r="D6" s="1">
        <v>0</v>
      </c>
      <c r="E6" s="1">
        <f t="shared" ref="E6:E9" si="7">J5</f>
        <v>0.30000000000000004</v>
      </c>
      <c r="F6" s="1">
        <f t="shared" ref="F6:F9" si="8">K5</f>
        <v>0.30000000000000004</v>
      </c>
      <c r="G6" s="1">
        <f t="shared" ref="G6:G9" si="9">B6*E6+C6*F6+L6</f>
        <v>0</v>
      </c>
      <c r="H6" s="1">
        <f t="shared" ref="H6:H9" si="10">IF(G6&gt;N6, 1, 0)</f>
        <v>0</v>
      </c>
      <c r="I6" s="1">
        <f t="shared" ref="I6:I9" si="11">D6-H6</f>
        <v>0</v>
      </c>
      <c r="J6" s="1">
        <f t="shared" ref="J6:J9" si="12">E6+M6*I6*B6</f>
        <v>0.30000000000000004</v>
      </c>
      <c r="K6" s="1">
        <f t="shared" ref="K6:K9" si="13">F6+M6*I6*C6</f>
        <v>0.30000000000000004</v>
      </c>
      <c r="L6" s="1">
        <v>0</v>
      </c>
      <c r="M6" s="1">
        <v>0.1</v>
      </c>
      <c r="N6" s="2">
        <v>0.5</v>
      </c>
    </row>
    <row r="7" spans="1:14" x14ac:dyDescent="0.3">
      <c r="A7" s="36"/>
      <c r="B7">
        <v>0</v>
      </c>
      <c r="C7">
        <v>1</v>
      </c>
      <c r="D7">
        <v>1</v>
      </c>
      <c r="E7">
        <f t="shared" si="7"/>
        <v>0.30000000000000004</v>
      </c>
      <c r="F7">
        <f t="shared" si="8"/>
        <v>0.30000000000000004</v>
      </c>
      <c r="G7">
        <f t="shared" si="9"/>
        <v>0.30000000000000004</v>
      </c>
      <c r="H7">
        <f t="shared" si="10"/>
        <v>0</v>
      </c>
      <c r="I7">
        <f t="shared" si="11"/>
        <v>1</v>
      </c>
      <c r="J7">
        <f t="shared" si="12"/>
        <v>0.30000000000000004</v>
      </c>
      <c r="K7">
        <f t="shared" si="13"/>
        <v>0.4</v>
      </c>
      <c r="L7">
        <v>0</v>
      </c>
      <c r="M7">
        <v>0.1</v>
      </c>
      <c r="N7" s="3">
        <v>0.5</v>
      </c>
    </row>
    <row r="8" spans="1:14" x14ac:dyDescent="0.3">
      <c r="A8" s="36"/>
      <c r="B8">
        <v>1</v>
      </c>
      <c r="C8">
        <v>0</v>
      </c>
      <c r="D8">
        <v>1</v>
      </c>
      <c r="E8">
        <f t="shared" si="7"/>
        <v>0.30000000000000004</v>
      </c>
      <c r="F8">
        <f t="shared" si="8"/>
        <v>0.4</v>
      </c>
      <c r="G8">
        <f t="shared" si="9"/>
        <v>0.30000000000000004</v>
      </c>
      <c r="H8">
        <f t="shared" si="10"/>
        <v>0</v>
      </c>
      <c r="I8">
        <f t="shared" si="11"/>
        <v>1</v>
      </c>
      <c r="J8">
        <f t="shared" si="12"/>
        <v>0.4</v>
      </c>
      <c r="K8">
        <f t="shared" si="13"/>
        <v>0.4</v>
      </c>
      <c r="L8">
        <v>0</v>
      </c>
      <c r="M8">
        <v>0.1</v>
      </c>
      <c r="N8" s="3">
        <v>0.5</v>
      </c>
    </row>
    <row r="9" spans="1:14" x14ac:dyDescent="0.3">
      <c r="A9" s="37"/>
      <c r="B9">
        <v>1</v>
      </c>
      <c r="C9">
        <v>1</v>
      </c>
      <c r="D9">
        <v>1</v>
      </c>
      <c r="E9">
        <f t="shared" si="7"/>
        <v>0.4</v>
      </c>
      <c r="F9">
        <f t="shared" si="8"/>
        <v>0.4</v>
      </c>
      <c r="G9">
        <f t="shared" si="9"/>
        <v>0.8</v>
      </c>
      <c r="H9">
        <f t="shared" si="10"/>
        <v>1</v>
      </c>
      <c r="I9">
        <f t="shared" si="11"/>
        <v>0</v>
      </c>
      <c r="J9">
        <f t="shared" si="12"/>
        <v>0.4</v>
      </c>
      <c r="K9">
        <f t="shared" si="13"/>
        <v>0.4</v>
      </c>
      <c r="L9">
        <v>0</v>
      </c>
      <c r="M9">
        <v>0.1</v>
      </c>
      <c r="N9" s="3">
        <v>0.5</v>
      </c>
    </row>
    <row r="10" spans="1:14" x14ac:dyDescent="0.3">
      <c r="A10" s="35">
        <v>3</v>
      </c>
      <c r="B10" s="1">
        <v>0</v>
      </c>
      <c r="C10" s="1">
        <v>0</v>
      </c>
      <c r="D10" s="1">
        <v>0</v>
      </c>
      <c r="E10" s="1">
        <f t="shared" ref="E10:E13" si="14">J9</f>
        <v>0.4</v>
      </c>
      <c r="F10" s="1">
        <f t="shared" ref="F10:F13" si="15">K9</f>
        <v>0.4</v>
      </c>
      <c r="G10" s="1">
        <f t="shared" ref="G10:G13" si="16">B10*E10+C10*F10+L10</f>
        <v>0</v>
      </c>
      <c r="H10" s="1">
        <f t="shared" ref="H10:H13" si="17">IF(G10&gt;N10, 1, 0)</f>
        <v>0</v>
      </c>
      <c r="I10" s="1">
        <f t="shared" ref="I10:I13" si="18">D10-H10</f>
        <v>0</v>
      </c>
      <c r="J10" s="1">
        <f t="shared" ref="J10:J13" si="19">E10+M10*I10*B10</f>
        <v>0.4</v>
      </c>
      <c r="K10" s="1">
        <f t="shared" ref="K10:K13" si="20">F10+M10*I10*C10</f>
        <v>0.4</v>
      </c>
      <c r="L10" s="1">
        <v>0</v>
      </c>
      <c r="M10" s="1">
        <v>0.1</v>
      </c>
      <c r="N10" s="2">
        <v>0.5</v>
      </c>
    </row>
    <row r="11" spans="1:14" x14ac:dyDescent="0.3">
      <c r="A11" s="36"/>
      <c r="B11">
        <v>0</v>
      </c>
      <c r="C11">
        <v>1</v>
      </c>
      <c r="D11">
        <v>1</v>
      </c>
      <c r="E11">
        <f t="shared" si="14"/>
        <v>0.4</v>
      </c>
      <c r="F11">
        <f t="shared" si="15"/>
        <v>0.4</v>
      </c>
      <c r="G11">
        <f t="shared" si="16"/>
        <v>0.4</v>
      </c>
      <c r="H11">
        <f t="shared" si="17"/>
        <v>0</v>
      </c>
      <c r="I11">
        <f t="shared" si="18"/>
        <v>1</v>
      </c>
      <c r="J11">
        <f t="shared" si="19"/>
        <v>0.4</v>
      </c>
      <c r="K11">
        <f t="shared" si="20"/>
        <v>0.5</v>
      </c>
      <c r="L11">
        <v>0</v>
      </c>
      <c r="M11">
        <v>0.1</v>
      </c>
      <c r="N11" s="3">
        <v>0.5</v>
      </c>
    </row>
    <row r="12" spans="1:14" x14ac:dyDescent="0.3">
      <c r="A12" s="36"/>
      <c r="B12">
        <v>1</v>
      </c>
      <c r="C12">
        <v>0</v>
      </c>
      <c r="D12">
        <v>1</v>
      </c>
      <c r="E12">
        <f t="shared" si="14"/>
        <v>0.4</v>
      </c>
      <c r="F12">
        <f t="shared" si="15"/>
        <v>0.5</v>
      </c>
      <c r="G12">
        <f t="shared" si="16"/>
        <v>0.4</v>
      </c>
      <c r="H12">
        <f t="shared" si="17"/>
        <v>0</v>
      </c>
      <c r="I12">
        <f t="shared" si="18"/>
        <v>1</v>
      </c>
      <c r="J12">
        <f t="shared" si="19"/>
        <v>0.5</v>
      </c>
      <c r="K12">
        <f t="shared" si="20"/>
        <v>0.5</v>
      </c>
      <c r="L12">
        <v>0</v>
      </c>
      <c r="M12">
        <v>0.1</v>
      </c>
      <c r="N12" s="3">
        <v>0.5</v>
      </c>
    </row>
    <row r="13" spans="1:14" x14ac:dyDescent="0.3">
      <c r="A13" s="37"/>
      <c r="B13">
        <v>1</v>
      </c>
      <c r="C13">
        <v>1</v>
      </c>
      <c r="D13">
        <v>1</v>
      </c>
      <c r="E13">
        <f t="shared" si="14"/>
        <v>0.5</v>
      </c>
      <c r="F13">
        <f t="shared" si="15"/>
        <v>0.5</v>
      </c>
      <c r="G13">
        <f t="shared" si="16"/>
        <v>1</v>
      </c>
      <c r="H13">
        <f t="shared" si="17"/>
        <v>1</v>
      </c>
      <c r="I13">
        <f t="shared" si="18"/>
        <v>0</v>
      </c>
      <c r="J13">
        <f t="shared" si="19"/>
        <v>0.5</v>
      </c>
      <c r="K13">
        <f t="shared" si="20"/>
        <v>0.5</v>
      </c>
      <c r="L13">
        <v>0</v>
      </c>
      <c r="M13">
        <v>0.1</v>
      </c>
      <c r="N13" s="3">
        <v>0.5</v>
      </c>
    </row>
    <row r="14" spans="1:14" x14ac:dyDescent="0.3">
      <c r="A14" s="35">
        <v>4</v>
      </c>
      <c r="B14" s="1">
        <v>0</v>
      </c>
      <c r="C14" s="1">
        <v>0</v>
      </c>
      <c r="D14" s="1">
        <v>0</v>
      </c>
      <c r="E14" s="1">
        <f t="shared" ref="E14:E17" si="21">J13</f>
        <v>0.5</v>
      </c>
      <c r="F14" s="1">
        <f t="shared" ref="F14:F17" si="22">K13</f>
        <v>0.5</v>
      </c>
      <c r="G14" s="1">
        <f t="shared" ref="G14:G17" si="23">B14*E14+C14*F14+L14</f>
        <v>0</v>
      </c>
      <c r="H14" s="1">
        <f t="shared" ref="H14:H17" si="24">IF(G14&gt;N14, 1, 0)</f>
        <v>0</v>
      </c>
      <c r="I14" s="1">
        <f t="shared" ref="I14:I17" si="25">D14-H14</f>
        <v>0</v>
      </c>
      <c r="J14" s="1">
        <f t="shared" ref="J14:J17" si="26">E14+M14*I14*B14</f>
        <v>0.5</v>
      </c>
      <c r="K14" s="1">
        <f t="shared" ref="K14:K17" si="27">F14+M14*I14*C14</f>
        <v>0.5</v>
      </c>
      <c r="L14" s="1">
        <v>0</v>
      </c>
      <c r="M14" s="1">
        <v>0.1</v>
      </c>
      <c r="N14" s="2">
        <v>0.5</v>
      </c>
    </row>
    <row r="15" spans="1:14" x14ac:dyDescent="0.3">
      <c r="A15" s="36"/>
      <c r="B15">
        <v>0</v>
      </c>
      <c r="C15">
        <v>1</v>
      </c>
      <c r="D15">
        <v>1</v>
      </c>
      <c r="E15">
        <f t="shared" si="21"/>
        <v>0.5</v>
      </c>
      <c r="F15">
        <f t="shared" si="22"/>
        <v>0.5</v>
      </c>
      <c r="G15">
        <f t="shared" si="23"/>
        <v>0.5</v>
      </c>
      <c r="H15">
        <f t="shared" si="24"/>
        <v>0</v>
      </c>
      <c r="I15">
        <f t="shared" si="25"/>
        <v>1</v>
      </c>
      <c r="J15">
        <f t="shared" si="26"/>
        <v>0.5</v>
      </c>
      <c r="K15">
        <f t="shared" si="27"/>
        <v>0.6</v>
      </c>
      <c r="L15">
        <v>0</v>
      </c>
      <c r="M15">
        <v>0.1</v>
      </c>
      <c r="N15" s="3">
        <v>0.5</v>
      </c>
    </row>
    <row r="16" spans="1:14" x14ac:dyDescent="0.3">
      <c r="A16" s="36"/>
      <c r="B16">
        <v>1</v>
      </c>
      <c r="C16">
        <v>0</v>
      </c>
      <c r="D16">
        <v>1</v>
      </c>
      <c r="E16">
        <f t="shared" si="21"/>
        <v>0.5</v>
      </c>
      <c r="F16">
        <f t="shared" si="22"/>
        <v>0.6</v>
      </c>
      <c r="G16">
        <f t="shared" si="23"/>
        <v>0.5</v>
      </c>
      <c r="H16">
        <f t="shared" si="24"/>
        <v>0</v>
      </c>
      <c r="I16">
        <f t="shared" si="25"/>
        <v>1</v>
      </c>
      <c r="J16">
        <f t="shared" si="26"/>
        <v>0.6</v>
      </c>
      <c r="K16">
        <f t="shared" si="27"/>
        <v>0.6</v>
      </c>
      <c r="L16">
        <v>0</v>
      </c>
      <c r="M16">
        <v>0.1</v>
      </c>
      <c r="N16" s="3">
        <v>0.5</v>
      </c>
    </row>
    <row r="17" spans="1:14" x14ac:dyDescent="0.3">
      <c r="A17" s="37"/>
      <c r="B17">
        <v>1</v>
      </c>
      <c r="C17">
        <v>1</v>
      </c>
      <c r="D17">
        <v>1</v>
      </c>
      <c r="E17">
        <f t="shared" si="21"/>
        <v>0.6</v>
      </c>
      <c r="F17">
        <f t="shared" si="22"/>
        <v>0.6</v>
      </c>
      <c r="G17">
        <f t="shared" si="23"/>
        <v>1.2</v>
      </c>
      <c r="H17">
        <f t="shared" si="24"/>
        <v>1</v>
      </c>
      <c r="I17">
        <f t="shared" si="25"/>
        <v>0</v>
      </c>
      <c r="J17">
        <f t="shared" si="26"/>
        <v>0.6</v>
      </c>
      <c r="K17">
        <f t="shared" si="27"/>
        <v>0.6</v>
      </c>
      <c r="L17">
        <v>0</v>
      </c>
      <c r="M17">
        <v>0.1</v>
      </c>
      <c r="N17" s="3">
        <v>0.5</v>
      </c>
    </row>
    <row r="18" spans="1:14" x14ac:dyDescent="0.3">
      <c r="A18" s="35">
        <v>5</v>
      </c>
      <c r="B18" s="1">
        <v>0</v>
      </c>
      <c r="C18" s="1">
        <v>0</v>
      </c>
      <c r="D18" s="1">
        <v>0</v>
      </c>
      <c r="E18" s="1">
        <f t="shared" ref="E18:E21" si="28">J17</f>
        <v>0.6</v>
      </c>
      <c r="F18" s="1">
        <f t="shared" ref="F18:F21" si="29">K17</f>
        <v>0.6</v>
      </c>
      <c r="G18" s="1">
        <f t="shared" ref="G18:G21" si="30">B18*E18+C18*F18+L18</f>
        <v>0</v>
      </c>
      <c r="H18" s="1">
        <f t="shared" ref="H18:H21" si="31">IF(G18&gt;N18, 1, 0)</f>
        <v>0</v>
      </c>
      <c r="I18" s="1">
        <f t="shared" ref="I18:I21" si="32">D18-H18</f>
        <v>0</v>
      </c>
      <c r="J18" s="1">
        <f t="shared" ref="J18:J21" si="33">E18+M18*I18*B18</f>
        <v>0.6</v>
      </c>
      <c r="K18" s="1">
        <f t="shared" ref="K18:K21" si="34">F18+M18*I18*C18</f>
        <v>0.6</v>
      </c>
      <c r="L18" s="1">
        <v>0</v>
      </c>
      <c r="M18" s="1">
        <v>0.1</v>
      </c>
      <c r="N18" s="2">
        <v>0.5</v>
      </c>
    </row>
    <row r="19" spans="1:14" x14ac:dyDescent="0.3">
      <c r="A19" s="36"/>
      <c r="B19">
        <v>0</v>
      </c>
      <c r="C19">
        <v>1</v>
      </c>
      <c r="D19">
        <v>1</v>
      </c>
      <c r="E19">
        <f t="shared" si="28"/>
        <v>0.6</v>
      </c>
      <c r="F19">
        <f t="shared" si="29"/>
        <v>0.6</v>
      </c>
      <c r="G19">
        <f t="shared" si="30"/>
        <v>0.6</v>
      </c>
      <c r="H19">
        <f t="shared" si="31"/>
        <v>1</v>
      </c>
      <c r="I19">
        <f t="shared" si="32"/>
        <v>0</v>
      </c>
      <c r="J19">
        <f t="shared" si="33"/>
        <v>0.6</v>
      </c>
      <c r="K19">
        <f t="shared" si="34"/>
        <v>0.6</v>
      </c>
      <c r="L19">
        <v>0</v>
      </c>
      <c r="M19">
        <v>0.1</v>
      </c>
      <c r="N19" s="3">
        <v>0.5</v>
      </c>
    </row>
    <row r="20" spans="1:14" x14ac:dyDescent="0.3">
      <c r="A20" s="36"/>
      <c r="B20">
        <v>1</v>
      </c>
      <c r="C20">
        <v>0</v>
      </c>
      <c r="D20">
        <v>1</v>
      </c>
      <c r="E20">
        <f t="shared" si="28"/>
        <v>0.6</v>
      </c>
      <c r="F20">
        <f t="shared" si="29"/>
        <v>0.6</v>
      </c>
      <c r="G20">
        <f t="shared" si="30"/>
        <v>0.6</v>
      </c>
      <c r="H20">
        <f t="shared" si="31"/>
        <v>1</v>
      </c>
      <c r="I20">
        <f t="shared" si="32"/>
        <v>0</v>
      </c>
      <c r="J20">
        <f t="shared" si="33"/>
        <v>0.6</v>
      </c>
      <c r="K20">
        <f t="shared" si="34"/>
        <v>0.6</v>
      </c>
      <c r="L20">
        <v>0</v>
      </c>
      <c r="M20">
        <v>0.1</v>
      </c>
      <c r="N20" s="3">
        <v>0.5</v>
      </c>
    </row>
    <row r="21" spans="1:14" x14ac:dyDescent="0.3">
      <c r="A21" s="37"/>
      <c r="B21" s="4">
        <v>1</v>
      </c>
      <c r="C21" s="4">
        <v>1</v>
      </c>
      <c r="D21" s="4">
        <v>1</v>
      </c>
      <c r="E21" s="4">
        <f t="shared" si="28"/>
        <v>0.6</v>
      </c>
      <c r="F21" s="4">
        <f t="shared" si="29"/>
        <v>0.6</v>
      </c>
      <c r="G21" s="4">
        <f t="shared" si="30"/>
        <v>1.2</v>
      </c>
      <c r="H21" s="4">
        <f t="shared" si="31"/>
        <v>1</v>
      </c>
      <c r="I21" s="4">
        <f t="shared" si="32"/>
        <v>0</v>
      </c>
      <c r="J21" s="4">
        <f t="shared" si="33"/>
        <v>0.6</v>
      </c>
      <c r="K21" s="4">
        <f t="shared" si="34"/>
        <v>0.6</v>
      </c>
      <c r="L21" s="4">
        <v>0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835B-42FD-40BD-B24E-D1057A34257E}">
  <dimension ref="A1:Q17"/>
  <sheetViews>
    <sheetView workbookViewId="0">
      <selection activeCell="A2" sqref="A2:A9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35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f>B2*F2+C2*G2+D2*H2+O2</f>
        <v>0</v>
      </c>
      <c r="J2" s="1">
        <f>IF(I2&gt;Q2,1,0)</f>
        <v>0</v>
      </c>
      <c r="K2" s="1">
        <f>E2-J2</f>
        <v>0</v>
      </c>
      <c r="L2" s="1">
        <f>F2+(P2*K2*B2)</f>
        <v>1</v>
      </c>
      <c r="M2" s="1">
        <f>F2+(P2*K2*C2)</f>
        <v>1</v>
      </c>
      <c r="N2" s="1">
        <f>F2+(P2*K2*D2)</f>
        <v>1</v>
      </c>
      <c r="O2" s="1">
        <v>0</v>
      </c>
      <c r="P2" s="1">
        <v>0.1</v>
      </c>
      <c r="Q2" s="2">
        <v>0.5</v>
      </c>
    </row>
    <row r="3" spans="1:17" x14ac:dyDescent="0.3">
      <c r="A3" s="36"/>
      <c r="B3">
        <v>0</v>
      </c>
      <c r="C3">
        <v>0</v>
      </c>
      <c r="D3">
        <v>1</v>
      </c>
      <c r="E3">
        <v>1</v>
      </c>
      <c r="F3">
        <f>L2</f>
        <v>1</v>
      </c>
      <c r="G3">
        <f>M2</f>
        <v>1</v>
      </c>
      <c r="H3">
        <f>N2</f>
        <v>1</v>
      </c>
      <c r="I3">
        <f t="shared" ref="I3:I9" si="0">B3*F3+C3*G3+D3*H3+O3</f>
        <v>1</v>
      </c>
      <c r="J3">
        <f t="shared" ref="J3:J9" si="1">IF(I3&gt;Q3,1,0)</f>
        <v>1</v>
      </c>
      <c r="K3">
        <f t="shared" ref="K3:K9" si="2">E3-J3</f>
        <v>0</v>
      </c>
      <c r="L3">
        <f t="shared" ref="L3:L9" si="3">F3+(P3*K3*B3)</f>
        <v>1</v>
      </c>
      <c r="M3">
        <f t="shared" ref="M3:M9" si="4">F3+(P3*K3*C3)</f>
        <v>1</v>
      </c>
      <c r="N3">
        <f t="shared" ref="N3:N9" si="5">F3+(P3*K3*D3)</f>
        <v>1</v>
      </c>
      <c r="O3">
        <v>0</v>
      </c>
      <c r="P3">
        <v>0.1</v>
      </c>
      <c r="Q3" s="3">
        <v>0.5</v>
      </c>
    </row>
    <row r="4" spans="1:17" x14ac:dyDescent="0.3">
      <c r="A4" s="36"/>
      <c r="B4">
        <v>0</v>
      </c>
      <c r="C4">
        <v>1</v>
      </c>
      <c r="D4">
        <v>0</v>
      </c>
      <c r="E4">
        <v>1</v>
      </c>
      <c r="F4">
        <f t="shared" ref="F4:F9" si="6">L3</f>
        <v>1</v>
      </c>
      <c r="G4">
        <f t="shared" ref="G4:G9" si="7">M3</f>
        <v>1</v>
      </c>
      <c r="H4">
        <f t="shared" ref="H4:H9" si="8">N3</f>
        <v>1</v>
      </c>
      <c r="I4">
        <f t="shared" si="0"/>
        <v>1</v>
      </c>
      <c r="J4">
        <f t="shared" si="1"/>
        <v>1</v>
      </c>
      <c r="K4">
        <f t="shared" si="2"/>
        <v>0</v>
      </c>
      <c r="L4">
        <f t="shared" si="3"/>
        <v>1</v>
      </c>
      <c r="M4">
        <f t="shared" si="4"/>
        <v>1</v>
      </c>
      <c r="N4">
        <f t="shared" si="5"/>
        <v>1</v>
      </c>
      <c r="O4">
        <v>0</v>
      </c>
      <c r="P4">
        <v>0.1</v>
      </c>
      <c r="Q4" s="3">
        <v>0.5</v>
      </c>
    </row>
    <row r="5" spans="1:17" x14ac:dyDescent="0.3">
      <c r="A5" s="36"/>
      <c r="B5">
        <v>0</v>
      </c>
      <c r="C5">
        <v>1</v>
      </c>
      <c r="D5">
        <v>1</v>
      </c>
      <c r="E5">
        <v>1</v>
      </c>
      <c r="F5">
        <f t="shared" si="6"/>
        <v>1</v>
      </c>
      <c r="G5">
        <f t="shared" si="7"/>
        <v>1</v>
      </c>
      <c r="H5">
        <f t="shared" si="8"/>
        <v>1</v>
      </c>
      <c r="I5">
        <f t="shared" si="0"/>
        <v>2</v>
      </c>
      <c r="J5">
        <f t="shared" si="1"/>
        <v>1</v>
      </c>
      <c r="K5">
        <f t="shared" si="2"/>
        <v>0</v>
      </c>
      <c r="L5">
        <f t="shared" si="3"/>
        <v>1</v>
      </c>
      <c r="M5">
        <f t="shared" si="4"/>
        <v>1</v>
      </c>
      <c r="N5">
        <f t="shared" si="5"/>
        <v>1</v>
      </c>
      <c r="O5">
        <v>0</v>
      </c>
      <c r="P5">
        <v>0.1</v>
      </c>
      <c r="Q5" s="3">
        <v>0.5</v>
      </c>
    </row>
    <row r="6" spans="1:17" x14ac:dyDescent="0.3">
      <c r="A6" s="36"/>
      <c r="B6">
        <v>1</v>
      </c>
      <c r="C6">
        <v>0</v>
      </c>
      <c r="D6">
        <v>0</v>
      </c>
      <c r="E6">
        <v>1</v>
      </c>
      <c r="F6">
        <f t="shared" si="6"/>
        <v>1</v>
      </c>
      <c r="G6">
        <f t="shared" si="7"/>
        <v>1</v>
      </c>
      <c r="H6">
        <f t="shared" si="8"/>
        <v>1</v>
      </c>
      <c r="I6">
        <f t="shared" si="0"/>
        <v>1</v>
      </c>
      <c r="J6">
        <f t="shared" si="1"/>
        <v>1</v>
      </c>
      <c r="K6">
        <f t="shared" si="2"/>
        <v>0</v>
      </c>
      <c r="L6">
        <f t="shared" si="3"/>
        <v>1</v>
      </c>
      <c r="M6">
        <f t="shared" si="4"/>
        <v>1</v>
      </c>
      <c r="N6">
        <f t="shared" si="5"/>
        <v>1</v>
      </c>
      <c r="O6">
        <v>0</v>
      </c>
      <c r="P6">
        <v>0.1</v>
      </c>
      <c r="Q6" s="3">
        <v>0.5</v>
      </c>
    </row>
    <row r="7" spans="1:17" x14ac:dyDescent="0.3">
      <c r="A7" s="36"/>
      <c r="B7">
        <v>1</v>
      </c>
      <c r="C7">
        <v>0</v>
      </c>
      <c r="D7">
        <v>1</v>
      </c>
      <c r="E7">
        <v>1</v>
      </c>
      <c r="F7">
        <f t="shared" si="6"/>
        <v>1</v>
      </c>
      <c r="G7">
        <f t="shared" si="7"/>
        <v>1</v>
      </c>
      <c r="H7">
        <f t="shared" si="8"/>
        <v>1</v>
      </c>
      <c r="I7">
        <f t="shared" si="0"/>
        <v>2</v>
      </c>
      <c r="J7">
        <f t="shared" si="1"/>
        <v>1</v>
      </c>
      <c r="K7">
        <f t="shared" si="2"/>
        <v>0</v>
      </c>
      <c r="L7">
        <f t="shared" si="3"/>
        <v>1</v>
      </c>
      <c r="M7">
        <f t="shared" si="4"/>
        <v>1</v>
      </c>
      <c r="N7">
        <f t="shared" si="5"/>
        <v>1</v>
      </c>
      <c r="O7">
        <v>0</v>
      </c>
      <c r="P7">
        <v>0.1</v>
      </c>
      <c r="Q7" s="3">
        <v>0.5</v>
      </c>
    </row>
    <row r="8" spans="1:17" x14ac:dyDescent="0.3">
      <c r="A8" s="36"/>
      <c r="B8">
        <v>1</v>
      </c>
      <c r="C8">
        <v>1</v>
      </c>
      <c r="D8">
        <v>0</v>
      </c>
      <c r="E8">
        <v>1</v>
      </c>
      <c r="F8">
        <f t="shared" si="6"/>
        <v>1</v>
      </c>
      <c r="G8">
        <f t="shared" si="7"/>
        <v>1</v>
      </c>
      <c r="H8">
        <f t="shared" si="8"/>
        <v>1</v>
      </c>
      <c r="I8">
        <f t="shared" si="0"/>
        <v>2</v>
      </c>
      <c r="J8">
        <f t="shared" si="1"/>
        <v>1</v>
      </c>
      <c r="K8">
        <f t="shared" si="2"/>
        <v>0</v>
      </c>
      <c r="L8">
        <f t="shared" si="3"/>
        <v>1</v>
      </c>
      <c r="M8">
        <f t="shared" si="4"/>
        <v>1</v>
      </c>
      <c r="N8">
        <f t="shared" si="5"/>
        <v>1</v>
      </c>
      <c r="O8">
        <v>0</v>
      </c>
      <c r="P8">
        <v>0.1</v>
      </c>
      <c r="Q8" s="3">
        <v>0.5</v>
      </c>
    </row>
    <row r="9" spans="1:17" x14ac:dyDescent="0.3">
      <c r="A9" s="36"/>
      <c r="B9">
        <v>1</v>
      </c>
      <c r="C9">
        <v>1</v>
      </c>
      <c r="D9">
        <v>1</v>
      </c>
      <c r="E9">
        <v>1</v>
      </c>
      <c r="F9">
        <f t="shared" si="6"/>
        <v>1</v>
      </c>
      <c r="G9">
        <f t="shared" si="7"/>
        <v>1</v>
      </c>
      <c r="H9">
        <f t="shared" si="8"/>
        <v>1</v>
      </c>
      <c r="I9">
        <f t="shared" si="0"/>
        <v>3</v>
      </c>
      <c r="J9">
        <f t="shared" si="1"/>
        <v>1</v>
      </c>
      <c r="K9">
        <f t="shared" si="2"/>
        <v>0</v>
      </c>
      <c r="L9">
        <f t="shared" si="3"/>
        <v>1</v>
      </c>
      <c r="M9">
        <f t="shared" si="4"/>
        <v>1</v>
      </c>
      <c r="N9">
        <f t="shared" si="5"/>
        <v>1</v>
      </c>
      <c r="O9">
        <v>0</v>
      </c>
      <c r="P9">
        <v>0.1</v>
      </c>
      <c r="Q9" s="3">
        <v>0.5</v>
      </c>
    </row>
    <row r="10" spans="1:17" x14ac:dyDescent="0.3">
      <c r="A10" s="24">
        <v>2</v>
      </c>
      <c r="B10" s="1">
        <v>0</v>
      </c>
      <c r="C10" s="1">
        <v>0</v>
      </c>
      <c r="D10" s="1">
        <v>0</v>
      </c>
      <c r="E10" s="1">
        <v>0</v>
      </c>
      <c r="F10" s="1">
        <f t="shared" ref="F10:F17" si="9">L9</f>
        <v>1</v>
      </c>
      <c r="G10" s="1">
        <f t="shared" ref="G10:G17" si="10">M9</f>
        <v>1</v>
      </c>
      <c r="H10" s="1">
        <f t="shared" ref="H10:H17" si="11">N9</f>
        <v>1</v>
      </c>
      <c r="I10" s="1">
        <f>B10*F10+C10*G10+D10*H10+O10</f>
        <v>0</v>
      </c>
      <c r="J10" s="1">
        <f>IF(I10&gt;Q10,1,0)</f>
        <v>0</v>
      </c>
      <c r="K10" s="1">
        <f>E10-J10</f>
        <v>0</v>
      </c>
      <c r="L10" s="1">
        <f>F10+(P10*K10*B10)</f>
        <v>1</v>
      </c>
      <c r="M10" s="1">
        <f>F10+(P10*K10*C10)</f>
        <v>1</v>
      </c>
      <c r="N10" s="1">
        <f>F10+(P10*K10*D10)</f>
        <v>1</v>
      </c>
      <c r="O10" s="1">
        <v>0</v>
      </c>
      <c r="P10" s="1">
        <v>0.1</v>
      </c>
      <c r="Q10" s="2">
        <v>0.5</v>
      </c>
    </row>
    <row r="11" spans="1:17" x14ac:dyDescent="0.3">
      <c r="A11" s="25"/>
      <c r="B11">
        <v>0</v>
      </c>
      <c r="C11">
        <v>0</v>
      </c>
      <c r="D11">
        <v>1</v>
      </c>
      <c r="E11">
        <v>1</v>
      </c>
      <c r="F11">
        <f t="shared" si="9"/>
        <v>1</v>
      </c>
      <c r="G11">
        <f t="shared" si="10"/>
        <v>1</v>
      </c>
      <c r="H11">
        <f t="shared" si="11"/>
        <v>1</v>
      </c>
      <c r="I11">
        <f t="shared" ref="I11:I17" si="12">B11*F11+C11*G11+D11*H11+O11</f>
        <v>1</v>
      </c>
      <c r="J11">
        <f t="shared" ref="J11:J17" si="13">IF(I11&gt;Q11,1,0)</f>
        <v>1</v>
      </c>
      <c r="K11">
        <f t="shared" ref="K11:K17" si="14">E11-J11</f>
        <v>0</v>
      </c>
      <c r="L11">
        <f t="shared" ref="L11:L17" si="15">F11+(P11*K11*B11)</f>
        <v>1</v>
      </c>
      <c r="M11">
        <f t="shared" ref="M11:M17" si="16">F11+(P11*K11*C11)</f>
        <v>1</v>
      </c>
      <c r="N11">
        <f t="shared" ref="N11:N17" si="17">F11+(P11*K11*D11)</f>
        <v>1</v>
      </c>
      <c r="O11">
        <v>0</v>
      </c>
      <c r="P11">
        <v>0.1</v>
      </c>
      <c r="Q11" s="3">
        <v>0.5</v>
      </c>
    </row>
    <row r="12" spans="1:17" x14ac:dyDescent="0.3">
      <c r="A12" s="25"/>
      <c r="B12">
        <v>0</v>
      </c>
      <c r="C12">
        <v>1</v>
      </c>
      <c r="D12">
        <v>0</v>
      </c>
      <c r="E12">
        <v>1</v>
      </c>
      <c r="F12">
        <f t="shared" si="9"/>
        <v>1</v>
      </c>
      <c r="G12">
        <f t="shared" si="10"/>
        <v>1</v>
      </c>
      <c r="H12">
        <f t="shared" si="11"/>
        <v>1</v>
      </c>
      <c r="I12">
        <f t="shared" si="12"/>
        <v>1</v>
      </c>
      <c r="J12">
        <f t="shared" si="13"/>
        <v>1</v>
      </c>
      <c r="K12">
        <f t="shared" si="14"/>
        <v>0</v>
      </c>
      <c r="L12">
        <f t="shared" si="15"/>
        <v>1</v>
      </c>
      <c r="M12">
        <f t="shared" si="16"/>
        <v>1</v>
      </c>
      <c r="N12">
        <f t="shared" si="17"/>
        <v>1</v>
      </c>
      <c r="O12">
        <v>0</v>
      </c>
      <c r="P12">
        <v>0.1</v>
      </c>
      <c r="Q12" s="3">
        <v>0.5</v>
      </c>
    </row>
    <row r="13" spans="1:17" x14ac:dyDescent="0.3">
      <c r="A13" s="25"/>
      <c r="B13">
        <v>0</v>
      </c>
      <c r="C13">
        <v>1</v>
      </c>
      <c r="D13">
        <v>1</v>
      </c>
      <c r="E13">
        <v>1</v>
      </c>
      <c r="F13">
        <f t="shared" si="9"/>
        <v>1</v>
      </c>
      <c r="G13">
        <f t="shared" si="10"/>
        <v>1</v>
      </c>
      <c r="H13">
        <f t="shared" si="11"/>
        <v>1</v>
      </c>
      <c r="I13">
        <f t="shared" si="12"/>
        <v>2</v>
      </c>
      <c r="J13">
        <f t="shared" si="13"/>
        <v>1</v>
      </c>
      <c r="K13">
        <f t="shared" si="14"/>
        <v>0</v>
      </c>
      <c r="L13">
        <f t="shared" si="15"/>
        <v>1</v>
      </c>
      <c r="M13">
        <f t="shared" si="16"/>
        <v>1</v>
      </c>
      <c r="N13">
        <f t="shared" si="17"/>
        <v>1</v>
      </c>
      <c r="O13">
        <v>0</v>
      </c>
      <c r="P13">
        <v>0.1</v>
      </c>
      <c r="Q13" s="3">
        <v>0.5</v>
      </c>
    </row>
    <row r="14" spans="1:17" x14ac:dyDescent="0.3">
      <c r="A14" s="25"/>
      <c r="B14">
        <v>1</v>
      </c>
      <c r="C14">
        <v>0</v>
      </c>
      <c r="D14">
        <v>0</v>
      </c>
      <c r="E14">
        <v>1</v>
      </c>
      <c r="F14">
        <f t="shared" si="9"/>
        <v>1</v>
      </c>
      <c r="G14">
        <f t="shared" si="10"/>
        <v>1</v>
      </c>
      <c r="H14">
        <f t="shared" si="11"/>
        <v>1</v>
      </c>
      <c r="I14">
        <f t="shared" si="12"/>
        <v>1</v>
      </c>
      <c r="J14">
        <f t="shared" si="13"/>
        <v>1</v>
      </c>
      <c r="K14">
        <f t="shared" si="14"/>
        <v>0</v>
      </c>
      <c r="L14">
        <f t="shared" si="15"/>
        <v>1</v>
      </c>
      <c r="M14">
        <f t="shared" si="16"/>
        <v>1</v>
      </c>
      <c r="N14">
        <f t="shared" si="17"/>
        <v>1</v>
      </c>
      <c r="O14">
        <v>0</v>
      </c>
      <c r="P14">
        <v>0.1</v>
      </c>
      <c r="Q14" s="3">
        <v>0.5</v>
      </c>
    </row>
    <row r="15" spans="1:17" x14ac:dyDescent="0.3">
      <c r="A15" s="25"/>
      <c r="B15">
        <v>1</v>
      </c>
      <c r="C15">
        <v>0</v>
      </c>
      <c r="D15">
        <v>1</v>
      </c>
      <c r="E15">
        <v>1</v>
      </c>
      <c r="F15">
        <f t="shared" si="9"/>
        <v>1</v>
      </c>
      <c r="G15">
        <f t="shared" si="10"/>
        <v>1</v>
      </c>
      <c r="H15">
        <f t="shared" si="11"/>
        <v>1</v>
      </c>
      <c r="I15">
        <f t="shared" si="12"/>
        <v>2</v>
      </c>
      <c r="J15">
        <f t="shared" si="13"/>
        <v>1</v>
      </c>
      <c r="K15">
        <f t="shared" si="14"/>
        <v>0</v>
      </c>
      <c r="L15">
        <f t="shared" si="15"/>
        <v>1</v>
      </c>
      <c r="M15">
        <f t="shared" si="16"/>
        <v>1</v>
      </c>
      <c r="N15">
        <f t="shared" si="17"/>
        <v>1</v>
      </c>
      <c r="O15">
        <v>0</v>
      </c>
      <c r="P15">
        <v>0.1</v>
      </c>
      <c r="Q15" s="3">
        <v>0.5</v>
      </c>
    </row>
    <row r="16" spans="1:17" x14ac:dyDescent="0.3">
      <c r="A16" s="25"/>
      <c r="B16">
        <v>1</v>
      </c>
      <c r="C16">
        <v>1</v>
      </c>
      <c r="D16">
        <v>0</v>
      </c>
      <c r="E16">
        <v>1</v>
      </c>
      <c r="F16">
        <f t="shared" si="9"/>
        <v>1</v>
      </c>
      <c r="G16">
        <f t="shared" si="10"/>
        <v>1</v>
      </c>
      <c r="H16">
        <f t="shared" si="11"/>
        <v>1</v>
      </c>
      <c r="I16">
        <f t="shared" si="12"/>
        <v>2</v>
      </c>
      <c r="J16">
        <f t="shared" si="13"/>
        <v>1</v>
      </c>
      <c r="K16">
        <f t="shared" si="14"/>
        <v>0</v>
      </c>
      <c r="L16">
        <f t="shared" si="15"/>
        <v>1</v>
      </c>
      <c r="M16">
        <f t="shared" si="16"/>
        <v>1</v>
      </c>
      <c r="N16">
        <f t="shared" si="17"/>
        <v>1</v>
      </c>
      <c r="O16">
        <v>0</v>
      </c>
      <c r="P16">
        <v>0.1</v>
      </c>
      <c r="Q16" s="3">
        <v>0.5</v>
      </c>
    </row>
    <row r="17" spans="1:17" x14ac:dyDescent="0.3">
      <c r="A17" s="26"/>
      <c r="B17" s="4">
        <v>1</v>
      </c>
      <c r="C17" s="4">
        <v>1</v>
      </c>
      <c r="D17" s="4">
        <v>1</v>
      </c>
      <c r="E17" s="4">
        <v>1</v>
      </c>
      <c r="F17" s="4">
        <f t="shared" si="9"/>
        <v>1</v>
      </c>
      <c r="G17" s="4">
        <f t="shared" si="10"/>
        <v>1</v>
      </c>
      <c r="H17" s="4">
        <f t="shared" si="11"/>
        <v>1</v>
      </c>
      <c r="I17" s="4">
        <f t="shared" si="12"/>
        <v>3</v>
      </c>
      <c r="J17" s="4">
        <f t="shared" si="13"/>
        <v>1</v>
      </c>
      <c r="K17" s="4">
        <f t="shared" si="14"/>
        <v>0</v>
      </c>
      <c r="L17" s="4">
        <f t="shared" si="15"/>
        <v>1</v>
      </c>
      <c r="M17" s="4">
        <f t="shared" si="16"/>
        <v>1</v>
      </c>
      <c r="N17" s="4">
        <f t="shared" si="17"/>
        <v>1</v>
      </c>
      <c r="O17" s="4">
        <v>0</v>
      </c>
      <c r="P17" s="4">
        <v>0.1</v>
      </c>
      <c r="Q17" s="5">
        <v>0.5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977E-E654-4A5B-AB0B-697CF9C4262A}">
  <dimension ref="A1:N17"/>
  <sheetViews>
    <sheetView workbookViewId="0">
      <selection activeCell="G13" sqref="G13"/>
    </sheetView>
  </sheetViews>
  <sheetFormatPr defaultRowHeight="14.4" x14ac:dyDescent="0.3"/>
  <cols>
    <col min="1" max="1" width="10" customWidth="1"/>
    <col min="4" max="4" width="16.6640625" customWidth="1"/>
    <col min="7" max="7" width="17.88671875" customWidth="1"/>
    <col min="8" max="8" width="21.109375" customWidth="1"/>
    <col min="9" max="9" width="18.44140625" customWidth="1"/>
    <col min="14" max="14" width="10.44140625" customWidth="1"/>
  </cols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0</v>
      </c>
      <c r="E2" s="1">
        <v>0.1</v>
      </c>
      <c r="F2" s="1">
        <v>0.1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0</v>
      </c>
      <c r="M2" s="1">
        <v>0.1</v>
      </c>
      <c r="N2" s="2">
        <v>0.5</v>
      </c>
    </row>
    <row r="3" spans="1:14" x14ac:dyDescent="0.3">
      <c r="A3" s="19"/>
      <c r="B3">
        <v>0</v>
      </c>
      <c r="C3">
        <v>1</v>
      </c>
      <c r="D3">
        <v>0</v>
      </c>
      <c r="E3">
        <f>J2</f>
        <v>0.1</v>
      </c>
      <c r="F3">
        <f>K2</f>
        <v>0.1</v>
      </c>
      <c r="G3">
        <f>B3*E3+C3*F3+L3</f>
        <v>0.1</v>
      </c>
      <c r="H3">
        <f>IF(G3&gt;N3, 1, 0)</f>
        <v>0</v>
      </c>
      <c r="I3">
        <f>D3-H3</f>
        <v>0</v>
      </c>
      <c r="J3">
        <f>E3+M3*I3*B3</f>
        <v>0.1</v>
      </c>
      <c r="K3">
        <f>F3+M3*I3*C3</f>
        <v>0.1</v>
      </c>
      <c r="L3">
        <v>0</v>
      </c>
      <c r="M3">
        <v>0.1</v>
      </c>
      <c r="N3" s="3">
        <v>0.5</v>
      </c>
    </row>
    <row r="4" spans="1:14" x14ac:dyDescent="0.3">
      <c r="A4" s="19"/>
      <c r="B4">
        <v>1</v>
      </c>
      <c r="C4">
        <v>0</v>
      </c>
      <c r="D4">
        <v>0</v>
      </c>
      <c r="E4">
        <f t="shared" ref="E4:E5" si="0">J3</f>
        <v>0.1</v>
      </c>
      <c r="F4">
        <f t="shared" ref="F4:F5" si="1">K3</f>
        <v>0.1</v>
      </c>
      <c r="G4">
        <f t="shared" ref="G4:G9" si="2">B4*E4+C4*F4+L4</f>
        <v>0.1</v>
      </c>
      <c r="H4">
        <f t="shared" ref="H4:H9" si="3">IF(G4&gt;N4, 1, 0)</f>
        <v>0</v>
      </c>
      <c r="I4">
        <f t="shared" ref="I4:I9" si="4">D4-H4</f>
        <v>0</v>
      </c>
      <c r="J4">
        <f t="shared" ref="J4:J9" si="5">E4+M4*I4*B4</f>
        <v>0.1</v>
      </c>
      <c r="K4">
        <f t="shared" ref="K4:K9" si="6">F4+M4*I4*C4</f>
        <v>0.1</v>
      </c>
      <c r="L4">
        <v>0</v>
      </c>
      <c r="M4">
        <v>0.1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1</v>
      </c>
      <c r="E5" s="4">
        <f t="shared" si="0"/>
        <v>0.1</v>
      </c>
      <c r="F5" s="4">
        <f t="shared" si="1"/>
        <v>0.1</v>
      </c>
      <c r="G5" s="4">
        <f t="shared" si="2"/>
        <v>0.2</v>
      </c>
      <c r="H5" s="4">
        <f t="shared" si="3"/>
        <v>0</v>
      </c>
      <c r="I5" s="4">
        <f t="shared" si="4"/>
        <v>1</v>
      </c>
      <c r="J5" s="4">
        <f t="shared" si="5"/>
        <v>0.2</v>
      </c>
      <c r="K5" s="4">
        <f t="shared" si="6"/>
        <v>0.2</v>
      </c>
      <c r="L5" s="4">
        <v>0</v>
      </c>
      <c r="M5" s="4">
        <v>0.1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0</v>
      </c>
      <c r="E6" s="1">
        <f t="shared" ref="E6:E9" si="7">J5</f>
        <v>0.2</v>
      </c>
      <c r="F6" s="1">
        <f t="shared" ref="F6:F9" si="8">K5</f>
        <v>0.2</v>
      </c>
      <c r="G6" s="1">
        <f t="shared" si="2"/>
        <v>0</v>
      </c>
      <c r="H6" s="1">
        <f t="shared" si="3"/>
        <v>0</v>
      </c>
      <c r="I6" s="1">
        <f t="shared" si="4"/>
        <v>0</v>
      </c>
      <c r="J6" s="1">
        <f t="shared" si="5"/>
        <v>0.2</v>
      </c>
      <c r="K6" s="1">
        <f t="shared" si="6"/>
        <v>0.2</v>
      </c>
      <c r="L6" s="1">
        <v>0</v>
      </c>
      <c r="M6" s="1">
        <v>0.1</v>
      </c>
      <c r="N6" s="2">
        <v>0.5</v>
      </c>
    </row>
    <row r="7" spans="1:14" x14ac:dyDescent="0.3">
      <c r="A7" s="19"/>
      <c r="B7">
        <v>0</v>
      </c>
      <c r="C7">
        <v>1</v>
      </c>
      <c r="D7">
        <v>0</v>
      </c>
      <c r="E7">
        <f t="shared" si="7"/>
        <v>0.2</v>
      </c>
      <c r="F7">
        <f t="shared" si="8"/>
        <v>0.2</v>
      </c>
      <c r="G7">
        <f t="shared" si="2"/>
        <v>0.2</v>
      </c>
      <c r="H7">
        <f t="shared" si="3"/>
        <v>0</v>
      </c>
      <c r="I7">
        <f t="shared" si="4"/>
        <v>0</v>
      </c>
      <c r="J7">
        <f t="shared" si="5"/>
        <v>0.2</v>
      </c>
      <c r="K7">
        <f t="shared" si="6"/>
        <v>0.2</v>
      </c>
      <c r="L7">
        <v>0</v>
      </c>
      <c r="M7">
        <v>0.1</v>
      </c>
      <c r="N7" s="3">
        <v>0.5</v>
      </c>
    </row>
    <row r="8" spans="1:14" x14ac:dyDescent="0.3">
      <c r="A8" s="19"/>
      <c r="B8">
        <v>1</v>
      </c>
      <c r="C8">
        <v>0</v>
      </c>
      <c r="D8">
        <v>0</v>
      </c>
      <c r="E8">
        <f t="shared" si="7"/>
        <v>0.2</v>
      </c>
      <c r="F8">
        <f t="shared" si="8"/>
        <v>0.2</v>
      </c>
      <c r="G8">
        <f t="shared" si="2"/>
        <v>0.2</v>
      </c>
      <c r="H8">
        <f t="shared" si="3"/>
        <v>0</v>
      </c>
      <c r="I8">
        <f t="shared" si="4"/>
        <v>0</v>
      </c>
      <c r="J8">
        <f t="shared" si="5"/>
        <v>0.2</v>
      </c>
      <c r="K8">
        <f t="shared" si="6"/>
        <v>0.2</v>
      </c>
      <c r="L8">
        <v>0</v>
      </c>
      <c r="M8">
        <v>0.1</v>
      </c>
      <c r="N8" s="3">
        <v>0.5</v>
      </c>
    </row>
    <row r="9" spans="1:14" x14ac:dyDescent="0.3">
      <c r="A9" s="19"/>
      <c r="B9">
        <v>1</v>
      </c>
      <c r="C9">
        <v>1</v>
      </c>
      <c r="D9">
        <v>1</v>
      </c>
      <c r="E9">
        <f t="shared" si="7"/>
        <v>0.2</v>
      </c>
      <c r="F9">
        <f t="shared" si="8"/>
        <v>0.2</v>
      </c>
      <c r="G9">
        <f t="shared" si="2"/>
        <v>0.4</v>
      </c>
      <c r="H9">
        <f t="shared" si="3"/>
        <v>0</v>
      </c>
      <c r="I9">
        <f t="shared" si="4"/>
        <v>1</v>
      </c>
      <c r="J9">
        <f t="shared" si="5"/>
        <v>0.30000000000000004</v>
      </c>
      <c r="K9">
        <f t="shared" si="6"/>
        <v>0.30000000000000004</v>
      </c>
      <c r="L9">
        <v>0</v>
      </c>
      <c r="M9">
        <v>0.1</v>
      </c>
      <c r="N9" s="3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0</v>
      </c>
      <c r="E10" s="1">
        <f t="shared" ref="E10:E13" si="9">J9</f>
        <v>0.30000000000000004</v>
      </c>
      <c r="F10" s="1">
        <f t="shared" ref="F10:F13" si="10">K9</f>
        <v>0.30000000000000004</v>
      </c>
      <c r="G10" s="1">
        <f t="shared" ref="G10:G13" si="11">B10*E10+C10*F10+L10</f>
        <v>0</v>
      </c>
      <c r="H10" s="1">
        <f t="shared" ref="H10:H13" si="12">IF(G10&gt;N10, 1, 0)</f>
        <v>0</v>
      </c>
      <c r="I10" s="1">
        <f t="shared" ref="I10:I13" si="13">D10-H10</f>
        <v>0</v>
      </c>
      <c r="J10" s="1">
        <f t="shared" ref="J10:J13" si="14">E10+M10*I10*B10</f>
        <v>0.30000000000000004</v>
      </c>
      <c r="K10" s="1">
        <f t="shared" ref="K10:K13" si="15">F10+M10*I10*C10</f>
        <v>0.30000000000000004</v>
      </c>
      <c r="L10" s="1">
        <v>0</v>
      </c>
      <c r="M10" s="1">
        <v>0.1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0</v>
      </c>
      <c r="E11">
        <f t="shared" si="9"/>
        <v>0.30000000000000004</v>
      </c>
      <c r="F11">
        <f t="shared" si="10"/>
        <v>0.30000000000000004</v>
      </c>
      <c r="G11">
        <f t="shared" si="11"/>
        <v>0.30000000000000004</v>
      </c>
      <c r="H11">
        <f t="shared" si="12"/>
        <v>0</v>
      </c>
      <c r="I11">
        <f t="shared" si="13"/>
        <v>0</v>
      </c>
      <c r="J11">
        <f t="shared" si="14"/>
        <v>0.30000000000000004</v>
      </c>
      <c r="K11">
        <f t="shared" si="15"/>
        <v>0.30000000000000004</v>
      </c>
      <c r="L11">
        <v>0</v>
      </c>
      <c r="M11">
        <v>0.1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0</v>
      </c>
      <c r="E12">
        <f t="shared" si="9"/>
        <v>0.30000000000000004</v>
      </c>
      <c r="F12">
        <f t="shared" si="10"/>
        <v>0.30000000000000004</v>
      </c>
      <c r="G12">
        <f t="shared" si="11"/>
        <v>0.30000000000000004</v>
      </c>
      <c r="H12">
        <f t="shared" si="12"/>
        <v>0</v>
      </c>
      <c r="I12">
        <f t="shared" si="13"/>
        <v>0</v>
      </c>
      <c r="J12">
        <f t="shared" si="14"/>
        <v>0.30000000000000004</v>
      </c>
      <c r="K12">
        <f t="shared" si="15"/>
        <v>0.30000000000000004</v>
      </c>
      <c r="L12">
        <v>0</v>
      </c>
      <c r="M12">
        <v>0.1</v>
      </c>
      <c r="N12" s="3">
        <v>0.5</v>
      </c>
    </row>
    <row r="13" spans="1:14" x14ac:dyDescent="0.3">
      <c r="A13" s="19"/>
      <c r="B13">
        <v>1</v>
      </c>
      <c r="C13">
        <v>1</v>
      </c>
      <c r="D13">
        <v>1</v>
      </c>
      <c r="E13">
        <f t="shared" si="9"/>
        <v>0.30000000000000004</v>
      </c>
      <c r="F13">
        <f t="shared" si="10"/>
        <v>0.30000000000000004</v>
      </c>
      <c r="G13">
        <f t="shared" si="11"/>
        <v>0.60000000000000009</v>
      </c>
      <c r="H13">
        <f t="shared" si="12"/>
        <v>1</v>
      </c>
      <c r="I13">
        <f t="shared" si="13"/>
        <v>0</v>
      </c>
      <c r="J13">
        <f t="shared" si="14"/>
        <v>0.30000000000000004</v>
      </c>
      <c r="K13">
        <f t="shared" si="15"/>
        <v>0.30000000000000004</v>
      </c>
      <c r="L13">
        <v>0</v>
      </c>
      <c r="M13">
        <v>0.1</v>
      </c>
      <c r="N13" s="3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0</v>
      </c>
      <c r="E14" s="1">
        <f t="shared" ref="E14:E17" si="16">J13</f>
        <v>0.30000000000000004</v>
      </c>
      <c r="F14" s="1">
        <f t="shared" ref="F14:F17" si="17">K13</f>
        <v>0.30000000000000004</v>
      </c>
      <c r="G14" s="1">
        <f t="shared" ref="G14:G17" si="18">B14*E14+C14*F14+L14</f>
        <v>0</v>
      </c>
      <c r="H14" s="1">
        <f t="shared" ref="H14:H17" si="19">IF(G14&gt;N14, 1, 0)</f>
        <v>0</v>
      </c>
      <c r="I14" s="1">
        <f t="shared" ref="I14:I17" si="20">D14-H14</f>
        <v>0</v>
      </c>
      <c r="J14" s="1">
        <f t="shared" ref="J14:J17" si="21">E14+M14*I14*B14</f>
        <v>0.30000000000000004</v>
      </c>
      <c r="K14" s="1">
        <f t="shared" ref="K14:K17" si="22">F14+M14*I14*C14</f>
        <v>0.30000000000000004</v>
      </c>
      <c r="L14" s="1">
        <v>0</v>
      </c>
      <c r="M14" s="1">
        <v>0.1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0</v>
      </c>
      <c r="E15">
        <f t="shared" si="16"/>
        <v>0.30000000000000004</v>
      </c>
      <c r="F15">
        <f t="shared" si="17"/>
        <v>0.30000000000000004</v>
      </c>
      <c r="G15">
        <f t="shared" si="18"/>
        <v>0.30000000000000004</v>
      </c>
      <c r="H15">
        <f t="shared" si="19"/>
        <v>0</v>
      </c>
      <c r="I15">
        <f t="shared" si="20"/>
        <v>0</v>
      </c>
      <c r="J15">
        <f t="shared" si="21"/>
        <v>0.30000000000000004</v>
      </c>
      <c r="K15">
        <f t="shared" si="22"/>
        <v>0.30000000000000004</v>
      </c>
      <c r="L15">
        <v>0</v>
      </c>
      <c r="M15">
        <v>0.1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0</v>
      </c>
      <c r="E16">
        <f t="shared" si="16"/>
        <v>0.30000000000000004</v>
      </c>
      <c r="F16">
        <f t="shared" si="17"/>
        <v>0.30000000000000004</v>
      </c>
      <c r="G16">
        <f t="shared" si="18"/>
        <v>0.30000000000000004</v>
      </c>
      <c r="H16">
        <f t="shared" si="19"/>
        <v>0</v>
      </c>
      <c r="I16">
        <f t="shared" si="20"/>
        <v>0</v>
      </c>
      <c r="J16">
        <f t="shared" si="21"/>
        <v>0.30000000000000004</v>
      </c>
      <c r="K16">
        <f t="shared" si="22"/>
        <v>0.30000000000000004</v>
      </c>
      <c r="L16">
        <v>0</v>
      </c>
      <c r="M16">
        <v>0.1</v>
      </c>
      <c r="N16" s="3">
        <v>0.5</v>
      </c>
    </row>
    <row r="17" spans="1:14" x14ac:dyDescent="0.3">
      <c r="A17" s="20"/>
      <c r="B17" s="4">
        <v>1</v>
      </c>
      <c r="C17" s="4">
        <v>1</v>
      </c>
      <c r="D17" s="4">
        <v>1</v>
      </c>
      <c r="E17" s="4">
        <f t="shared" si="16"/>
        <v>0.30000000000000004</v>
      </c>
      <c r="F17" s="4">
        <f t="shared" si="17"/>
        <v>0.30000000000000004</v>
      </c>
      <c r="G17" s="4">
        <f t="shared" si="18"/>
        <v>0.60000000000000009</v>
      </c>
      <c r="H17" s="4">
        <f t="shared" si="19"/>
        <v>1</v>
      </c>
      <c r="I17" s="4">
        <f t="shared" si="20"/>
        <v>0</v>
      </c>
      <c r="J17" s="4">
        <f t="shared" si="21"/>
        <v>0.30000000000000004</v>
      </c>
      <c r="K17" s="4">
        <f t="shared" si="22"/>
        <v>0.30000000000000004</v>
      </c>
      <c r="L17" s="4">
        <v>0</v>
      </c>
      <c r="M17" s="4">
        <v>0.1</v>
      </c>
      <c r="N17" s="5">
        <v>0.5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1026-C788-408D-AFE0-6A89D02B2445}">
  <dimension ref="A1:Q33"/>
  <sheetViews>
    <sheetView workbookViewId="0">
      <selection activeCell="B26" sqref="B26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35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f>B2*F2+C2*G2+D2*H2+O2</f>
        <v>0</v>
      </c>
      <c r="J2" s="1">
        <f>IF(I2&gt;Q2,1,0)</f>
        <v>0</v>
      </c>
      <c r="K2" s="1">
        <f>E2-J2</f>
        <v>0</v>
      </c>
      <c r="L2" s="1">
        <f>F2+(P2*K2*B2)</f>
        <v>1</v>
      </c>
      <c r="M2" s="1">
        <f>F2+(P2*K2*C2)</f>
        <v>1</v>
      </c>
      <c r="N2" s="1">
        <f>F2+(P2*K2*D2)</f>
        <v>1</v>
      </c>
      <c r="O2" s="1">
        <v>0</v>
      </c>
      <c r="P2" s="1">
        <v>0.1</v>
      </c>
      <c r="Q2" s="2">
        <v>0.5</v>
      </c>
    </row>
    <row r="3" spans="1:17" x14ac:dyDescent="0.3">
      <c r="A3" s="36"/>
      <c r="B3">
        <v>0</v>
      </c>
      <c r="C3">
        <v>0</v>
      </c>
      <c r="D3">
        <v>1</v>
      </c>
      <c r="E3">
        <v>0</v>
      </c>
      <c r="F3">
        <f>L2</f>
        <v>1</v>
      </c>
      <c r="G3">
        <f>M2</f>
        <v>1</v>
      </c>
      <c r="H3">
        <f>N2</f>
        <v>1</v>
      </c>
      <c r="I3">
        <f t="shared" ref="I3:I9" si="0">B3*F3+C3*G3+D3*H3+O3</f>
        <v>1</v>
      </c>
      <c r="J3">
        <f t="shared" ref="J3:J9" si="1">IF(I3&gt;Q3,1,0)</f>
        <v>1</v>
      </c>
      <c r="K3">
        <f t="shared" ref="K3:K9" si="2">E3-J3</f>
        <v>-1</v>
      </c>
      <c r="L3">
        <f t="shared" ref="L3:L9" si="3">F3+(P3*K3*B3)</f>
        <v>1</v>
      </c>
      <c r="M3">
        <f t="shared" ref="M3:M9" si="4">F3+(P3*K3*C3)</f>
        <v>1</v>
      </c>
      <c r="N3">
        <f t="shared" ref="N3:N9" si="5">F3+(P3*K3*D3)</f>
        <v>0.9</v>
      </c>
      <c r="O3">
        <v>0</v>
      </c>
      <c r="P3">
        <v>0.1</v>
      </c>
      <c r="Q3" s="3">
        <v>0.5</v>
      </c>
    </row>
    <row r="4" spans="1:17" x14ac:dyDescent="0.3">
      <c r="A4" s="36"/>
      <c r="B4">
        <v>0</v>
      </c>
      <c r="C4">
        <v>1</v>
      </c>
      <c r="D4">
        <v>0</v>
      </c>
      <c r="E4">
        <v>0</v>
      </c>
      <c r="F4">
        <f t="shared" ref="F4:H17" si="6">L3</f>
        <v>1</v>
      </c>
      <c r="G4">
        <f t="shared" si="6"/>
        <v>1</v>
      </c>
      <c r="H4">
        <f t="shared" si="6"/>
        <v>0.9</v>
      </c>
      <c r="I4">
        <f t="shared" si="0"/>
        <v>1</v>
      </c>
      <c r="J4">
        <f t="shared" si="1"/>
        <v>1</v>
      </c>
      <c r="K4">
        <f t="shared" si="2"/>
        <v>-1</v>
      </c>
      <c r="L4">
        <f t="shared" si="3"/>
        <v>1</v>
      </c>
      <c r="M4">
        <f t="shared" si="4"/>
        <v>0.9</v>
      </c>
      <c r="N4">
        <f t="shared" si="5"/>
        <v>1</v>
      </c>
      <c r="O4">
        <v>0</v>
      </c>
      <c r="P4">
        <v>0.1</v>
      </c>
      <c r="Q4" s="3">
        <v>0.5</v>
      </c>
    </row>
    <row r="5" spans="1:17" x14ac:dyDescent="0.3">
      <c r="A5" s="36"/>
      <c r="B5">
        <v>0</v>
      </c>
      <c r="C5">
        <v>1</v>
      </c>
      <c r="D5">
        <v>1</v>
      </c>
      <c r="E5">
        <v>0</v>
      </c>
      <c r="F5">
        <f t="shared" si="6"/>
        <v>1</v>
      </c>
      <c r="G5">
        <f t="shared" si="6"/>
        <v>0.9</v>
      </c>
      <c r="H5">
        <f t="shared" si="6"/>
        <v>1</v>
      </c>
      <c r="I5">
        <f t="shared" si="0"/>
        <v>1.9</v>
      </c>
      <c r="J5">
        <f t="shared" si="1"/>
        <v>1</v>
      </c>
      <c r="K5">
        <f t="shared" si="2"/>
        <v>-1</v>
      </c>
      <c r="L5">
        <f t="shared" si="3"/>
        <v>1</v>
      </c>
      <c r="M5">
        <f t="shared" si="4"/>
        <v>0.9</v>
      </c>
      <c r="N5">
        <f t="shared" si="5"/>
        <v>0.9</v>
      </c>
      <c r="O5">
        <v>0</v>
      </c>
      <c r="P5">
        <v>0.1</v>
      </c>
      <c r="Q5" s="3">
        <v>0.5</v>
      </c>
    </row>
    <row r="6" spans="1:17" x14ac:dyDescent="0.3">
      <c r="A6" s="36"/>
      <c r="B6">
        <v>1</v>
      </c>
      <c r="C6">
        <v>0</v>
      </c>
      <c r="D6">
        <v>0</v>
      </c>
      <c r="E6">
        <v>0</v>
      </c>
      <c r="F6">
        <f t="shared" si="6"/>
        <v>1</v>
      </c>
      <c r="G6">
        <f t="shared" si="6"/>
        <v>0.9</v>
      </c>
      <c r="H6">
        <f t="shared" si="6"/>
        <v>0.9</v>
      </c>
      <c r="I6">
        <f t="shared" si="0"/>
        <v>1</v>
      </c>
      <c r="J6">
        <f t="shared" si="1"/>
        <v>1</v>
      </c>
      <c r="K6">
        <f t="shared" si="2"/>
        <v>-1</v>
      </c>
      <c r="L6">
        <f t="shared" si="3"/>
        <v>0.9</v>
      </c>
      <c r="M6">
        <f t="shared" si="4"/>
        <v>1</v>
      </c>
      <c r="N6">
        <f t="shared" si="5"/>
        <v>1</v>
      </c>
      <c r="O6">
        <v>0</v>
      </c>
      <c r="P6">
        <v>0.1</v>
      </c>
      <c r="Q6" s="3">
        <v>0.5</v>
      </c>
    </row>
    <row r="7" spans="1:17" x14ac:dyDescent="0.3">
      <c r="A7" s="36"/>
      <c r="B7">
        <v>1</v>
      </c>
      <c r="C7">
        <v>0</v>
      </c>
      <c r="D7">
        <v>1</v>
      </c>
      <c r="E7">
        <v>0</v>
      </c>
      <c r="F7">
        <f t="shared" si="6"/>
        <v>0.9</v>
      </c>
      <c r="G7">
        <f t="shared" si="6"/>
        <v>1</v>
      </c>
      <c r="H7">
        <f t="shared" si="6"/>
        <v>1</v>
      </c>
      <c r="I7">
        <f t="shared" si="0"/>
        <v>1.9</v>
      </c>
      <c r="J7">
        <f t="shared" si="1"/>
        <v>1</v>
      </c>
      <c r="K7">
        <f t="shared" si="2"/>
        <v>-1</v>
      </c>
      <c r="L7">
        <f t="shared" si="3"/>
        <v>0.8</v>
      </c>
      <c r="M7">
        <f t="shared" si="4"/>
        <v>0.9</v>
      </c>
      <c r="N7">
        <f t="shared" si="5"/>
        <v>0.8</v>
      </c>
      <c r="O7">
        <v>0</v>
      </c>
      <c r="P7">
        <v>0.1</v>
      </c>
      <c r="Q7" s="3">
        <v>0.5</v>
      </c>
    </row>
    <row r="8" spans="1:17" x14ac:dyDescent="0.3">
      <c r="A8" s="36"/>
      <c r="B8">
        <v>1</v>
      </c>
      <c r="C8">
        <v>1</v>
      </c>
      <c r="D8">
        <v>0</v>
      </c>
      <c r="E8">
        <v>0</v>
      </c>
      <c r="F8">
        <f t="shared" si="6"/>
        <v>0.8</v>
      </c>
      <c r="G8">
        <f t="shared" si="6"/>
        <v>0.9</v>
      </c>
      <c r="H8">
        <f t="shared" si="6"/>
        <v>0.8</v>
      </c>
      <c r="I8">
        <f t="shared" si="0"/>
        <v>1.7000000000000002</v>
      </c>
      <c r="J8">
        <f t="shared" si="1"/>
        <v>1</v>
      </c>
      <c r="K8">
        <f t="shared" si="2"/>
        <v>-1</v>
      </c>
      <c r="L8">
        <f t="shared" si="3"/>
        <v>0.70000000000000007</v>
      </c>
      <c r="M8">
        <f t="shared" si="4"/>
        <v>0.70000000000000007</v>
      </c>
      <c r="N8">
        <f t="shared" si="5"/>
        <v>0.8</v>
      </c>
      <c r="O8">
        <v>0</v>
      </c>
      <c r="P8">
        <v>0.1</v>
      </c>
      <c r="Q8" s="3">
        <v>0.5</v>
      </c>
    </row>
    <row r="9" spans="1:17" x14ac:dyDescent="0.3">
      <c r="A9" s="36"/>
      <c r="B9">
        <v>1</v>
      </c>
      <c r="C9">
        <v>1</v>
      </c>
      <c r="D9">
        <v>1</v>
      </c>
      <c r="E9">
        <v>1</v>
      </c>
      <c r="F9">
        <f t="shared" si="6"/>
        <v>0.70000000000000007</v>
      </c>
      <c r="G9">
        <f t="shared" si="6"/>
        <v>0.70000000000000007</v>
      </c>
      <c r="H9">
        <f t="shared" si="6"/>
        <v>0.8</v>
      </c>
      <c r="I9">
        <f t="shared" si="0"/>
        <v>2.2000000000000002</v>
      </c>
      <c r="J9">
        <f t="shared" si="1"/>
        <v>1</v>
      </c>
      <c r="K9">
        <f t="shared" si="2"/>
        <v>0</v>
      </c>
      <c r="L9">
        <f t="shared" si="3"/>
        <v>0.70000000000000007</v>
      </c>
      <c r="M9">
        <f t="shared" si="4"/>
        <v>0.70000000000000007</v>
      </c>
      <c r="N9">
        <f t="shared" si="5"/>
        <v>0.70000000000000007</v>
      </c>
      <c r="O9">
        <v>0</v>
      </c>
      <c r="P9">
        <v>0.1</v>
      </c>
      <c r="Q9" s="3">
        <v>0.5</v>
      </c>
    </row>
    <row r="10" spans="1:17" x14ac:dyDescent="0.3">
      <c r="A10" s="24">
        <v>2</v>
      </c>
      <c r="B10" s="1">
        <v>0</v>
      </c>
      <c r="C10" s="1">
        <v>0</v>
      </c>
      <c r="D10" s="1">
        <v>0</v>
      </c>
      <c r="E10" s="1">
        <v>0</v>
      </c>
      <c r="F10" s="1">
        <f t="shared" si="6"/>
        <v>0.70000000000000007</v>
      </c>
      <c r="G10" s="1">
        <f t="shared" si="6"/>
        <v>0.70000000000000007</v>
      </c>
      <c r="H10" s="1">
        <f t="shared" si="6"/>
        <v>0.70000000000000007</v>
      </c>
      <c r="I10" s="1">
        <f>B10*F10+C10*G10+D10*H10+O10</f>
        <v>0</v>
      </c>
      <c r="J10" s="1">
        <f>IF(I10&gt;Q10,1,0)</f>
        <v>0</v>
      </c>
      <c r="K10" s="1">
        <f>E10-J10</f>
        <v>0</v>
      </c>
      <c r="L10" s="1">
        <f>F10+(P10*K10*B10)</f>
        <v>0.70000000000000007</v>
      </c>
      <c r="M10" s="1">
        <f>F10+(P10*K10*C10)</f>
        <v>0.70000000000000007</v>
      </c>
      <c r="N10" s="1">
        <f>F10+(P10*K10*D10)</f>
        <v>0.70000000000000007</v>
      </c>
      <c r="O10" s="1">
        <v>0</v>
      </c>
      <c r="P10" s="1">
        <v>0.1</v>
      </c>
      <c r="Q10" s="2">
        <v>0.5</v>
      </c>
    </row>
    <row r="11" spans="1:17" x14ac:dyDescent="0.3">
      <c r="A11" s="25"/>
      <c r="B11">
        <v>0</v>
      </c>
      <c r="C11">
        <v>0</v>
      </c>
      <c r="D11">
        <v>1</v>
      </c>
      <c r="E11">
        <v>0</v>
      </c>
      <c r="F11">
        <f t="shared" si="6"/>
        <v>0.70000000000000007</v>
      </c>
      <c r="G11">
        <f t="shared" si="6"/>
        <v>0.70000000000000007</v>
      </c>
      <c r="H11">
        <f t="shared" si="6"/>
        <v>0.70000000000000007</v>
      </c>
      <c r="I11">
        <f t="shared" ref="I11:I17" si="7">B11*F11+C11*G11+D11*H11+O11</f>
        <v>0.70000000000000007</v>
      </c>
      <c r="J11">
        <f t="shared" ref="J11:J17" si="8">IF(I11&gt;Q11,1,0)</f>
        <v>1</v>
      </c>
      <c r="K11">
        <f t="shared" ref="K11:K17" si="9">E11-J11</f>
        <v>-1</v>
      </c>
      <c r="L11">
        <f t="shared" ref="L11:L17" si="10">F11+(P11*K11*B11)</f>
        <v>0.70000000000000007</v>
      </c>
      <c r="M11">
        <f t="shared" ref="M11:M17" si="11">F11+(P11*K11*C11)</f>
        <v>0.70000000000000007</v>
      </c>
      <c r="N11">
        <f t="shared" ref="N11:N17" si="12">F11+(P11*K11*D11)</f>
        <v>0.60000000000000009</v>
      </c>
      <c r="O11">
        <v>0</v>
      </c>
      <c r="P11">
        <v>0.1</v>
      </c>
      <c r="Q11" s="3">
        <v>0.5</v>
      </c>
    </row>
    <row r="12" spans="1:17" x14ac:dyDescent="0.3">
      <c r="A12" s="25"/>
      <c r="B12">
        <v>0</v>
      </c>
      <c r="C12">
        <v>1</v>
      </c>
      <c r="D12">
        <v>0</v>
      </c>
      <c r="E12">
        <v>0</v>
      </c>
      <c r="F12">
        <f t="shared" si="6"/>
        <v>0.70000000000000007</v>
      </c>
      <c r="G12">
        <f t="shared" si="6"/>
        <v>0.70000000000000007</v>
      </c>
      <c r="H12">
        <f t="shared" si="6"/>
        <v>0.60000000000000009</v>
      </c>
      <c r="I12">
        <f t="shared" si="7"/>
        <v>0.70000000000000007</v>
      </c>
      <c r="J12">
        <f t="shared" si="8"/>
        <v>1</v>
      </c>
      <c r="K12">
        <f t="shared" si="9"/>
        <v>-1</v>
      </c>
      <c r="L12">
        <f t="shared" si="10"/>
        <v>0.70000000000000007</v>
      </c>
      <c r="M12">
        <f t="shared" si="11"/>
        <v>0.60000000000000009</v>
      </c>
      <c r="N12">
        <f t="shared" si="12"/>
        <v>0.70000000000000007</v>
      </c>
      <c r="O12">
        <v>0</v>
      </c>
      <c r="P12">
        <v>0.1</v>
      </c>
      <c r="Q12" s="3">
        <v>0.5</v>
      </c>
    </row>
    <row r="13" spans="1:17" x14ac:dyDescent="0.3">
      <c r="A13" s="25"/>
      <c r="B13">
        <v>0</v>
      </c>
      <c r="C13">
        <v>1</v>
      </c>
      <c r="D13">
        <v>1</v>
      </c>
      <c r="E13">
        <v>0</v>
      </c>
      <c r="F13">
        <f t="shared" si="6"/>
        <v>0.70000000000000007</v>
      </c>
      <c r="G13">
        <f t="shared" si="6"/>
        <v>0.60000000000000009</v>
      </c>
      <c r="H13">
        <f t="shared" si="6"/>
        <v>0.70000000000000007</v>
      </c>
      <c r="I13">
        <f t="shared" si="7"/>
        <v>1.3000000000000003</v>
      </c>
      <c r="J13">
        <f t="shared" si="8"/>
        <v>1</v>
      </c>
      <c r="K13">
        <f t="shared" si="9"/>
        <v>-1</v>
      </c>
      <c r="L13">
        <f t="shared" si="10"/>
        <v>0.70000000000000007</v>
      </c>
      <c r="M13">
        <f t="shared" si="11"/>
        <v>0.60000000000000009</v>
      </c>
      <c r="N13">
        <f t="shared" si="12"/>
        <v>0.60000000000000009</v>
      </c>
      <c r="O13">
        <v>0</v>
      </c>
      <c r="P13">
        <v>0.1</v>
      </c>
      <c r="Q13" s="3">
        <v>0.5</v>
      </c>
    </row>
    <row r="14" spans="1:17" x14ac:dyDescent="0.3">
      <c r="A14" s="25"/>
      <c r="B14">
        <v>1</v>
      </c>
      <c r="C14">
        <v>0</v>
      </c>
      <c r="D14">
        <v>0</v>
      </c>
      <c r="E14">
        <v>0</v>
      </c>
      <c r="F14">
        <f t="shared" si="6"/>
        <v>0.70000000000000007</v>
      </c>
      <c r="G14">
        <f t="shared" si="6"/>
        <v>0.60000000000000009</v>
      </c>
      <c r="H14">
        <f t="shared" si="6"/>
        <v>0.60000000000000009</v>
      </c>
      <c r="I14">
        <f t="shared" si="7"/>
        <v>0.70000000000000007</v>
      </c>
      <c r="J14">
        <f t="shared" si="8"/>
        <v>1</v>
      </c>
      <c r="K14">
        <f t="shared" si="9"/>
        <v>-1</v>
      </c>
      <c r="L14">
        <f t="shared" si="10"/>
        <v>0.60000000000000009</v>
      </c>
      <c r="M14">
        <f t="shared" si="11"/>
        <v>0.70000000000000007</v>
      </c>
      <c r="N14">
        <f t="shared" si="12"/>
        <v>0.70000000000000007</v>
      </c>
      <c r="O14">
        <v>0</v>
      </c>
      <c r="P14">
        <v>0.1</v>
      </c>
      <c r="Q14" s="3">
        <v>0.5</v>
      </c>
    </row>
    <row r="15" spans="1:17" x14ac:dyDescent="0.3">
      <c r="A15" s="25"/>
      <c r="B15">
        <v>1</v>
      </c>
      <c r="C15">
        <v>0</v>
      </c>
      <c r="D15">
        <v>1</v>
      </c>
      <c r="E15">
        <v>0</v>
      </c>
      <c r="F15">
        <f t="shared" si="6"/>
        <v>0.60000000000000009</v>
      </c>
      <c r="G15">
        <f t="shared" si="6"/>
        <v>0.70000000000000007</v>
      </c>
      <c r="H15">
        <f t="shared" si="6"/>
        <v>0.70000000000000007</v>
      </c>
      <c r="I15">
        <f t="shared" si="7"/>
        <v>1.3000000000000003</v>
      </c>
      <c r="J15">
        <f t="shared" si="8"/>
        <v>1</v>
      </c>
      <c r="K15">
        <f t="shared" si="9"/>
        <v>-1</v>
      </c>
      <c r="L15">
        <f t="shared" si="10"/>
        <v>0.50000000000000011</v>
      </c>
      <c r="M15">
        <f t="shared" si="11"/>
        <v>0.60000000000000009</v>
      </c>
      <c r="N15">
        <f t="shared" si="12"/>
        <v>0.50000000000000011</v>
      </c>
      <c r="O15">
        <v>0</v>
      </c>
      <c r="P15">
        <v>0.1</v>
      </c>
      <c r="Q15" s="3">
        <v>0.5</v>
      </c>
    </row>
    <row r="16" spans="1:17" x14ac:dyDescent="0.3">
      <c r="A16" s="25"/>
      <c r="B16">
        <v>1</v>
      </c>
      <c r="C16">
        <v>1</v>
      </c>
      <c r="D16">
        <v>0</v>
      </c>
      <c r="E16">
        <v>0</v>
      </c>
      <c r="F16">
        <f t="shared" si="6"/>
        <v>0.50000000000000011</v>
      </c>
      <c r="G16">
        <f t="shared" si="6"/>
        <v>0.60000000000000009</v>
      </c>
      <c r="H16">
        <f t="shared" si="6"/>
        <v>0.50000000000000011</v>
      </c>
      <c r="I16">
        <f t="shared" si="7"/>
        <v>1.1000000000000001</v>
      </c>
      <c r="J16">
        <f t="shared" si="8"/>
        <v>1</v>
      </c>
      <c r="K16">
        <f t="shared" si="9"/>
        <v>-1</v>
      </c>
      <c r="L16">
        <f t="shared" si="10"/>
        <v>0.40000000000000013</v>
      </c>
      <c r="M16">
        <f t="shared" si="11"/>
        <v>0.40000000000000013</v>
      </c>
      <c r="N16">
        <f t="shared" si="12"/>
        <v>0.50000000000000011</v>
      </c>
      <c r="O16">
        <v>0</v>
      </c>
      <c r="P16">
        <v>0.1</v>
      </c>
      <c r="Q16" s="3">
        <v>0.5</v>
      </c>
    </row>
    <row r="17" spans="1:17" x14ac:dyDescent="0.3">
      <c r="A17" s="26"/>
      <c r="B17" s="4">
        <v>1</v>
      </c>
      <c r="C17" s="4">
        <v>1</v>
      </c>
      <c r="D17" s="4">
        <v>1</v>
      </c>
      <c r="E17" s="4">
        <v>1</v>
      </c>
      <c r="F17" s="4">
        <f t="shared" si="6"/>
        <v>0.40000000000000013</v>
      </c>
      <c r="G17" s="4">
        <f t="shared" si="6"/>
        <v>0.40000000000000013</v>
      </c>
      <c r="H17" s="4">
        <f t="shared" si="6"/>
        <v>0.50000000000000011</v>
      </c>
      <c r="I17" s="4">
        <f t="shared" si="7"/>
        <v>1.3000000000000003</v>
      </c>
      <c r="J17" s="4">
        <f t="shared" si="8"/>
        <v>1</v>
      </c>
      <c r="K17" s="4">
        <f t="shared" si="9"/>
        <v>0</v>
      </c>
      <c r="L17" s="4">
        <f t="shared" si="10"/>
        <v>0.40000000000000013</v>
      </c>
      <c r="M17" s="4">
        <f t="shared" si="11"/>
        <v>0.40000000000000013</v>
      </c>
      <c r="N17" s="4">
        <f t="shared" si="12"/>
        <v>0.40000000000000013</v>
      </c>
      <c r="O17" s="4">
        <v>0</v>
      </c>
      <c r="P17" s="4">
        <v>0.1</v>
      </c>
      <c r="Q17" s="5">
        <v>0.5</v>
      </c>
    </row>
    <row r="18" spans="1:17" x14ac:dyDescent="0.3">
      <c r="A18" s="24">
        <v>3</v>
      </c>
      <c r="B18" s="1">
        <v>0</v>
      </c>
      <c r="C18" s="1">
        <v>0</v>
      </c>
      <c r="D18" s="1">
        <v>0</v>
      </c>
      <c r="E18" s="1">
        <v>0</v>
      </c>
      <c r="F18" s="1">
        <f t="shared" ref="F18:F25" si="13">L17</f>
        <v>0.40000000000000013</v>
      </c>
      <c r="G18" s="1">
        <f t="shared" ref="G18:G25" si="14">M17</f>
        <v>0.40000000000000013</v>
      </c>
      <c r="H18" s="1">
        <f t="shared" ref="H18:H25" si="15">N17</f>
        <v>0.40000000000000013</v>
      </c>
      <c r="I18" s="1">
        <f>B18*F18+C18*G18+D18*H18+O18</f>
        <v>0</v>
      </c>
      <c r="J18" s="1">
        <f>IF(I18&gt;Q18,1,0)</f>
        <v>0</v>
      </c>
      <c r="K18" s="1">
        <f>E18-J18</f>
        <v>0</v>
      </c>
      <c r="L18" s="1">
        <f>F18+(P18*K18*B18)</f>
        <v>0.40000000000000013</v>
      </c>
      <c r="M18" s="1">
        <f>F18+(P18*K18*C18)</f>
        <v>0.40000000000000013</v>
      </c>
      <c r="N18" s="1">
        <f>F18+(P18*K18*D18)</f>
        <v>0.40000000000000013</v>
      </c>
      <c r="O18" s="1">
        <v>0</v>
      </c>
      <c r="P18" s="1">
        <v>0.1</v>
      </c>
      <c r="Q18" s="2">
        <v>0.5</v>
      </c>
    </row>
    <row r="19" spans="1:17" x14ac:dyDescent="0.3">
      <c r="A19" s="25"/>
      <c r="B19">
        <v>0</v>
      </c>
      <c r="C19">
        <v>0</v>
      </c>
      <c r="D19">
        <v>1</v>
      </c>
      <c r="E19">
        <v>0</v>
      </c>
      <c r="F19">
        <f t="shared" si="13"/>
        <v>0.40000000000000013</v>
      </c>
      <c r="G19">
        <f t="shared" si="14"/>
        <v>0.40000000000000013</v>
      </c>
      <c r="H19">
        <f t="shared" si="15"/>
        <v>0.40000000000000013</v>
      </c>
      <c r="I19">
        <f t="shared" ref="I19:I25" si="16">B19*F19+C19*G19+D19*H19+O19</f>
        <v>0.40000000000000013</v>
      </c>
      <c r="J19">
        <f t="shared" ref="J19:J25" si="17">IF(I19&gt;Q19,1,0)</f>
        <v>0</v>
      </c>
      <c r="K19">
        <f t="shared" ref="K19:K25" si="18">E19-J19</f>
        <v>0</v>
      </c>
      <c r="L19">
        <f t="shared" ref="L19:L25" si="19">F19+(P19*K19*B19)</f>
        <v>0.40000000000000013</v>
      </c>
      <c r="M19">
        <f t="shared" ref="M19:M25" si="20">F19+(P19*K19*C19)</f>
        <v>0.40000000000000013</v>
      </c>
      <c r="N19">
        <f t="shared" ref="N19:N25" si="21">F19+(P19*K19*D19)</f>
        <v>0.40000000000000013</v>
      </c>
      <c r="O19">
        <v>0</v>
      </c>
      <c r="P19">
        <v>0.1</v>
      </c>
      <c r="Q19" s="3">
        <v>0.5</v>
      </c>
    </row>
    <row r="20" spans="1:17" x14ac:dyDescent="0.3">
      <c r="A20" s="25"/>
      <c r="B20">
        <v>0</v>
      </c>
      <c r="C20">
        <v>1</v>
      </c>
      <c r="D20">
        <v>0</v>
      </c>
      <c r="E20">
        <v>0</v>
      </c>
      <c r="F20">
        <f t="shared" si="13"/>
        <v>0.40000000000000013</v>
      </c>
      <c r="G20">
        <f t="shared" si="14"/>
        <v>0.40000000000000013</v>
      </c>
      <c r="H20">
        <f t="shared" si="15"/>
        <v>0.40000000000000013</v>
      </c>
      <c r="I20">
        <f t="shared" si="16"/>
        <v>0.40000000000000013</v>
      </c>
      <c r="J20">
        <f t="shared" si="17"/>
        <v>0</v>
      </c>
      <c r="K20">
        <f t="shared" si="18"/>
        <v>0</v>
      </c>
      <c r="L20">
        <f t="shared" si="19"/>
        <v>0.40000000000000013</v>
      </c>
      <c r="M20">
        <f t="shared" si="20"/>
        <v>0.40000000000000013</v>
      </c>
      <c r="N20">
        <f t="shared" si="21"/>
        <v>0.40000000000000013</v>
      </c>
      <c r="O20">
        <v>0</v>
      </c>
      <c r="P20">
        <v>0.1</v>
      </c>
      <c r="Q20" s="3">
        <v>0.5</v>
      </c>
    </row>
    <row r="21" spans="1:17" x14ac:dyDescent="0.3">
      <c r="A21" s="25"/>
      <c r="B21">
        <v>0</v>
      </c>
      <c r="C21">
        <v>1</v>
      </c>
      <c r="D21">
        <v>1</v>
      </c>
      <c r="E21">
        <v>0</v>
      </c>
      <c r="F21">
        <f t="shared" si="13"/>
        <v>0.40000000000000013</v>
      </c>
      <c r="G21">
        <f t="shared" si="14"/>
        <v>0.40000000000000013</v>
      </c>
      <c r="H21">
        <f t="shared" si="15"/>
        <v>0.40000000000000013</v>
      </c>
      <c r="I21">
        <f t="shared" si="16"/>
        <v>0.80000000000000027</v>
      </c>
      <c r="J21">
        <f t="shared" si="17"/>
        <v>1</v>
      </c>
      <c r="K21">
        <f t="shared" si="18"/>
        <v>-1</v>
      </c>
      <c r="L21">
        <f t="shared" si="19"/>
        <v>0.40000000000000013</v>
      </c>
      <c r="M21">
        <f t="shared" si="20"/>
        <v>0.30000000000000016</v>
      </c>
      <c r="N21">
        <f t="shared" si="21"/>
        <v>0.30000000000000016</v>
      </c>
      <c r="O21">
        <v>0</v>
      </c>
      <c r="P21">
        <v>0.1</v>
      </c>
      <c r="Q21" s="3">
        <v>0.5</v>
      </c>
    </row>
    <row r="22" spans="1:17" x14ac:dyDescent="0.3">
      <c r="A22" s="25"/>
      <c r="B22">
        <v>1</v>
      </c>
      <c r="C22">
        <v>0</v>
      </c>
      <c r="D22">
        <v>0</v>
      </c>
      <c r="E22">
        <v>0</v>
      </c>
      <c r="F22">
        <f t="shared" si="13"/>
        <v>0.40000000000000013</v>
      </c>
      <c r="G22">
        <f t="shared" si="14"/>
        <v>0.30000000000000016</v>
      </c>
      <c r="H22">
        <f t="shared" si="15"/>
        <v>0.30000000000000016</v>
      </c>
      <c r="I22">
        <f t="shared" si="16"/>
        <v>0.40000000000000013</v>
      </c>
      <c r="J22">
        <f t="shared" si="17"/>
        <v>0</v>
      </c>
      <c r="K22">
        <f t="shared" si="18"/>
        <v>0</v>
      </c>
      <c r="L22">
        <f t="shared" si="19"/>
        <v>0.40000000000000013</v>
      </c>
      <c r="M22">
        <f t="shared" si="20"/>
        <v>0.40000000000000013</v>
      </c>
      <c r="N22">
        <f t="shared" si="21"/>
        <v>0.40000000000000013</v>
      </c>
      <c r="O22">
        <v>0</v>
      </c>
      <c r="P22">
        <v>0.1</v>
      </c>
      <c r="Q22" s="3">
        <v>0.5</v>
      </c>
    </row>
    <row r="23" spans="1:17" x14ac:dyDescent="0.3">
      <c r="A23" s="25"/>
      <c r="B23">
        <v>1</v>
      </c>
      <c r="C23">
        <v>0</v>
      </c>
      <c r="D23">
        <v>1</v>
      </c>
      <c r="E23">
        <v>0</v>
      </c>
      <c r="F23">
        <f t="shared" si="13"/>
        <v>0.40000000000000013</v>
      </c>
      <c r="G23">
        <f t="shared" si="14"/>
        <v>0.40000000000000013</v>
      </c>
      <c r="H23">
        <f t="shared" si="15"/>
        <v>0.40000000000000013</v>
      </c>
      <c r="I23">
        <f t="shared" si="16"/>
        <v>0.80000000000000027</v>
      </c>
      <c r="J23">
        <f t="shared" si="17"/>
        <v>1</v>
      </c>
      <c r="K23">
        <f t="shared" si="18"/>
        <v>-1</v>
      </c>
      <c r="L23">
        <f t="shared" si="19"/>
        <v>0.30000000000000016</v>
      </c>
      <c r="M23">
        <f t="shared" si="20"/>
        <v>0.40000000000000013</v>
      </c>
      <c r="N23">
        <f t="shared" si="21"/>
        <v>0.30000000000000016</v>
      </c>
      <c r="O23">
        <v>0</v>
      </c>
      <c r="P23">
        <v>0.1</v>
      </c>
      <c r="Q23" s="3">
        <v>0.5</v>
      </c>
    </row>
    <row r="24" spans="1:17" x14ac:dyDescent="0.3">
      <c r="A24" s="25"/>
      <c r="B24">
        <v>1</v>
      </c>
      <c r="C24">
        <v>1</v>
      </c>
      <c r="D24">
        <v>0</v>
      </c>
      <c r="E24">
        <v>0</v>
      </c>
      <c r="F24">
        <f t="shared" si="13"/>
        <v>0.30000000000000016</v>
      </c>
      <c r="G24">
        <f t="shared" si="14"/>
        <v>0.40000000000000013</v>
      </c>
      <c r="H24">
        <f t="shared" si="15"/>
        <v>0.30000000000000016</v>
      </c>
      <c r="I24">
        <f t="shared" si="16"/>
        <v>0.70000000000000029</v>
      </c>
      <c r="J24">
        <f t="shared" si="17"/>
        <v>1</v>
      </c>
      <c r="K24">
        <f t="shared" si="18"/>
        <v>-1</v>
      </c>
      <c r="L24">
        <f t="shared" si="19"/>
        <v>0.20000000000000015</v>
      </c>
      <c r="M24">
        <f t="shared" si="20"/>
        <v>0.20000000000000015</v>
      </c>
      <c r="N24">
        <f t="shared" si="21"/>
        <v>0.30000000000000016</v>
      </c>
      <c r="O24">
        <v>0</v>
      </c>
      <c r="P24">
        <v>0.1</v>
      </c>
      <c r="Q24" s="3">
        <v>0.5</v>
      </c>
    </row>
    <row r="25" spans="1:17" x14ac:dyDescent="0.3">
      <c r="A25" s="26"/>
      <c r="B25" s="4">
        <v>1</v>
      </c>
      <c r="C25" s="4">
        <v>1</v>
      </c>
      <c r="D25" s="4">
        <v>1</v>
      </c>
      <c r="E25" s="4">
        <v>1</v>
      </c>
      <c r="F25" s="4">
        <f t="shared" si="13"/>
        <v>0.20000000000000015</v>
      </c>
      <c r="G25" s="4">
        <f t="shared" si="14"/>
        <v>0.20000000000000015</v>
      </c>
      <c r="H25" s="4">
        <f t="shared" si="15"/>
        <v>0.30000000000000016</v>
      </c>
      <c r="I25" s="4">
        <f t="shared" si="16"/>
        <v>0.7000000000000004</v>
      </c>
      <c r="J25" s="4">
        <f t="shared" si="17"/>
        <v>1</v>
      </c>
      <c r="K25" s="4">
        <f t="shared" si="18"/>
        <v>0</v>
      </c>
      <c r="L25" s="4">
        <f t="shared" si="19"/>
        <v>0.20000000000000015</v>
      </c>
      <c r="M25" s="4">
        <f t="shared" si="20"/>
        <v>0.20000000000000015</v>
      </c>
      <c r="N25" s="4">
        <f t="shared" si="21"/>
        <v>0.20000000000000015</v>
      </c>
      <c r="O25" s="4">
        <v>0</v>
      </c>
      <c r="P25" s="4">
        <v>0.1</v>
      </c>
      <c r="Q25" s="5">
        <v>0.5</v>
      </c>
    </row>
    <row r="26" spans="1:17" x14ac:dyDescent="0.3">
      <c r="A26" s="24">
        <v>4</v>
      </c>
      <c r="B26" s="1">
        <v>0</v>
      </c>
      <c r="C26" s="1">
        <v>0</v>
      </c>
      <c r="D26" s="1">
        <v>0</v>
      </c>
      <c r="E26" s="1">
        <v>0</v>
      </c>
      <c r="F26" s="1">
        <f t="shared" ref="F26:F33" si="22">L25</f>
        <v>0.20000000000000015</v>
      </c>
      <c r="G26" s="1">
        <f t="shared" ref="G26:G33" si="23">M25</f>
        <v>0.20000000000000015</v>
      </c>
      <c r="H26" s="1">
        <f t="shared" ref="H26:H33" si="24">N25</f>
        <v>0.20000000000000015</v>
      </c>
      <c r="I26" s="1">
        <f>B26*F26+C26*G26+D26*H26+O26</f>
        <v>0</v>
      </c>
      <c r="J26" s="1">
        <f>IF(I26&gt;Q26,1,0)</f>
        <v>0</v>
      </c>
      <c r="K26" s="1">
        <f>E26-J26</f>
        <v>0</v>
      </c>
      <c r="L26" s="1">
        <f>F26+(P26*K26*B26)</f>
        <v>0.20000000000000015</v>
      </c>
      <c r="M26" s="1">
        <f>F26+(P26*K26*C26)</f>
        <v>0.20000000000000015</v>
      </c>
      <c r="N26" s="1">
        <f>F26+(P26*K26*D26)</f>
        <v>0.20000000000000015</v>
      </c>
      <c r="O26" s="1">
        <v>0</v>
      </c>
      <c r="P26" s="1">
        <v>0.1</v>
      </c>
      <c r="Q26" s="2">
        <v>0.5</v>
      </c>
    </row>
    <row r="27" spans="1:17" x14ac:dyDescent="0.3">
      <c r="A27" s="25"/>
      <c r="B27">
        <v>0</v>
      </c>
      <c r="C27">
        <v>0</v>
      </c>
      <c r="D27">
        <v>1</v>
      </c>
      <c r="E27">
        <v>0</v>
      </c>
      <c r="F27">
        <f t="shared" si="22"/>
        <v>0.20000000000000015</v>
      </c>
      <c r="G27">
        <f t="shared" si="23"/>
        <v>0.20000000000000015</v>
      </c>
      <c r="H27">
        <f t="shared" si="24"/>
        <v>0.20000000000000015</v>
      </c>
      <c r="I27">
        <f t="shared" ref="I27:I33" si="25">B27*F27+C27*G27+D27*H27+O27</f>
        <v>0.20000000000000015</v>
      </c>
      <c r="J27">
        <f t="shared" ref="J27:J33" si="26">IF(I27&gt;Q27,1,0)</f>
        <v>0</v>
      </c>
      <c r="K27">
        <f t="shared" ref="K27:K33" si="27">E27-J27</f>
        <v>0</v>
      </c>
      <c r="L27">
        <f t="shared" ref="L27:L33" si="28">F27+(P27*K27*B27)</f>
        <v>0.20000000000000015</v>
      </c>
      <c r="M27">
        <f t="shared" ref="M27:M33" si="29">F27+(P27*K27*C27)</f>
        <v>0.20000000000000015</v>
      </c>
      <c r="N27">
        <f t="shared" ref="N27:N33" si="30">F27+(P27*K27*D27)</f>
        <v>0.20000000000000015</v>
      </c>
      <c r="O27">
        <v>0</v>
      </c>
      <c r="P27">
        <v>0.1</v>
      </c>
      <c r="Q27" s="3">
        <v>0.5</v>
      </c>
    </row>
    <row r="28" spans="1:17" x14ac:dyDescent="0.3">
      <c r="A28" s="25"/>
      <c r="B28">
        <v>0</v>
      </c>
      <c r="C28">
        <v>1</v>
      </c>
      <c r="D28">
        <v>0</v>
      </c>
      <c r="E28">
        <v>0</v>
      </c>
      <c r="F28">
        <f t="shared" si="22"/>
        <v>0.20000000000000015</v>
      </c>
      <c r="G28">
        <f t="shared" si="23"/>
        <v>0.20000000000000015</v>
      </c>
      <c r="H28">
        <f t="shared" si="24"/>
        <v>0.20000000000000015</v>
      </c>
      <c r="I28">
        <f t="shared" si="25"/>
        <v>0.20000000000000015</v>
      </c>
      <c r="J28">
        <f t="shared" si="26"/>
        <v>0</v>
      </c>
      <c r="K28">
        <f t="shared" si="27"/>
        <v>0</v>
      </c>
      <c r="L28">
        <f t="shared" si="28"/>
        <v>0.20000000000000015</v>
      </c>
      <c r="M28">
        <f t="shared" si="29"/>
        <v>0.20000000000000015</v>
      </c>
      <c r="N28">
        <f t="shared" si="30"/>
        <v>0.20000000000000015</v>
      </c>
      <c r="O28">
        <v>0</v>
      </c>
      <c r="P28">
        <v>0.1</v>
      </c>
      <c r="Q28" s="3">
        <v>0.5</v>
      </c>
    </row>
    <row r="29" spans="1:17" x14ac:dyDescent="0.3">
      <c r="A29" s="25"/>
      <c r="B29">
        <v>0</v>
      </c>
      <c r="C29">
        <v>1</v>
      </c>
      <c r="D29">
        <v>1</v>
      </c>
      <c r="E29">
        <v>0</v>
      </c>
      <c r="F29">
        <f t="shared" si="22"/>
        <v>0.20000000000000015</v>
      </c>
      <c r="G29">
        <f t="shared" si="23"/>
        <v>0.20000000000000015</v>
      </c>
      <c r="H29">
        <f t="shared" si="24"/>
        <v>0.20000000000000015</v>
      </c>
      <c r="I29">
        <f t="shared" si="25"/>
        <v>0.4000000000000003</v>
      </c>
      <c r="J29">
        <f t="shared" si="26"/>
        <v>0</v>
      </c>
      <c r="K29">
        <f t="shared" si="27"/>
        <v>0</v>
      </c>
      <c r="L29">
        <f t="shared" si="28"/>
        <v>0.20000000000000015</v>
      </c>
      <c r="M29">
        <f t="shared" si="29"/>
        <v>0.20000000000000015</v>
      </c>
      <c r="N29">
        <f t="shared" si="30"/>
        <v>0.20000000000000015</v>
      </c>
      <c r="O29">
        <v>0</v>
      </c>
      <c r="P29">
        <v>0.1</v>
      </c>
      <c r="Q29" s="3">
        <v>0.5</v>
      </c>
    </row>
    <row r="30" spans="1:17" x14ac:dyDescent="0.3">
      <c r="A30" s="25"/>
      <c r="B30">
        <v>1</v>
      </c>
      <c r="C30">
        <v>0</v>
      </c>
      <c r="D30">
        <v>0</v>
      </c>
      <c r="E30">
        <v>0</v>
      </c>
      <c r="F30">
        <f t="shared" si="22"/>
        <v>0.20000000000000015</v>
      </c>
      <c r="G30">
        <f t="shared" si="23"/>
        <v>0.20000000000000015</v>
      </c>
      <c r="H30">
        <f t="shared" si="24"/>
        <v>0.20000000000000015</v>
      </c>
      <c r="I30">
        <f t="shared" si="25"/>
        <v>0.20000000000000015</v>
      </c>
      <c r="J30">
        <f t="shared" si="26"/>
        <v>0</v>
      </c>
      <c r="K30">
        <f t="shared" si="27"/>
        <v>0</v>
      </c>
      <c r="L30">
        <f t="shared" si="28"/>
        <v>0.20000000000000015</v>
      </c>
      <c r="M30">
        <f t="shared" si="29"/>
        <v>0.20000000000000015</v>
      </c>
      <c r="N30">
        <f t="shared" si="30"/>
        <v>0.20000000000000015</v>
      </c>
      <c r="O30">
        <v>0</v>
      </c>
      <c r="P30">
        <v>0.1</v>
      </c>
      <c r="Q30" s="3">
        <v>0.5</v>
      </c>
    </row>
    <row r="31" spans="1:17" x14ac:dyDescent="0.3">
      <c r="A31" s="25"/>
      <c r="B31">
        <v>1</v>
      </c>
      <c r="C31">
        <v>0</v>
      </c>
      <c r="D31">
        <v>1</v>
      </c>
      <c r="E31">
        <v>0</v>
      </c>
      <c r="F31">
        <f t="shared" si="22"/>
        <v>0.20000000000000015</v>
      </c>
      <c r="G31">
        <f t="shared" si="23"/>
        <v>0.20000000000000015</v>
      </c>
      <c r="H31">
        <f t="shared" si="24"/>
        <v>0.20000000000000015</v>
      </c>
      <c r="I31">
        <f t="shared" si="25"/>
        <v>0.4000000000000003</v>
      </c>
      <c r="J31">
        <f t="shared" si="26"/>
        <v>0</v>
      </c>
      <c r="K31">
        <f t="shared" si="27"/>
        <v>0</v>
      </c>
      <c r="L31">
        <f t="shared" si="28"/>
        <v>0.20000000000000015</v>
      </c>
      <c r="M31">
        <f t="shared" si="29"/>
        <v>0.20000000000000015</v>
      </c>
      <c r="N31">
        <f t="shared" si="30"/>
        <v>0.20000000000000015</v>
      </c>
      <c r="O31">
        <v>0</v>
      </c>
      <c r="P31">
        <v>0.1</v>
      </c>
      <c r="Q31" s="3">
        <v>0.5</v>
      </c>
    </row>
    <row r="32" spans="1:17" x14ac:dyDescent="0.3">
      <c r="A32" s="25"/>
      <c r="B32">
        <v>1</v>
      </c>
      <c r="C32">
        <v>1</v>
      </c>
      <c r="D32">
        <v>0</v>
      </c>
      <c r="E32">
        <v>0</v>
      </c>
      <c r="F32">
        <f t="shared" si="22"/>
        <v>0.20000000000000015</v>
      </c>
      <c r="G32">
        <f t="shared" si="23"/>
        <v>0.20000000000000015</v>
      </c>
      <c r="H32">
        <f t="shared" si="24"/>
        <v>0.20000000000000015</v>
      </c>
      <c r="I32">
        <f t="shared" si="25"/>
        <v>0.4000000000000003</v>
      </c>
      <c r="J32">
        <f t="shared" si="26"/>
        <v>0</v>
      </c>
      <c r="K32">
        <f t="shared" si="27"/>
        <v>0</v>
      </c>
      <c r="L32">
        <f t="shared" si="28"/>
        <v>0.20000000000000015</v>
      </c>
      <c r="M32">
        <f t="shared" si="29"/>
        <v>0.20000000000000015</v>
      </c>
      <c r="N32">
        <f t="shared" si="30"/>
        <v>0.20000000000000015</v>
      </c>
      <c r="O32">
        <v>0</v>
      </c>
      <c r="P32">
        <v>0.1</v>
      </c>
      <c r="Q32" s="3">
        <v>0.5</v>
      </c>
    </row>
    <row r="33" spans="1:17" x14ac:dyDescent="0.3">
      <c r="A33" s="26"/>
      <c r="B33" s="4">
        <v>1</v>
      </c>
      <c r="C33" s="4">
        <v>1</v>
      </c>
      <c r="D33" s="4">
        <v>1</v>
      </c>
      <c r="E33" s="4">
        <v>1</v>
      </c>
      <c r="F33" s="4">
        <f t="shared" si="22"/>
        <v>0.20000000000000015</v>
      </c>
      <c r="G33" s="4">
        <f t="shared" si="23"/>
        <v>0.20000000000000015</v>
      </c>
      <c r="H33" s="4">
        <f t="shared" si="24"/>
        <v>0.20000000000000015</v>
      </c>
      <c r="I33" s="4">
        <f t="shared" si="25"/>
        <v>0.60000000000000042</v>
      </c>
      <c r="J33" s="4">
        <f t="shared" si="26"/>
        <v>1</v>
      </c>
      <c r="K33" s="4">
        <f t="shared" si="27"/>
        <v>0</v>
      </c>
      <c r="L33" s="4">
        <f t="shared" si="28"/>
        <v>0.20000000000000015</v>
      </c>
      <c r="M33" s="4">
        <f t="shared" si="29"/>
        <v>0.20000000000000015</v>
      </c>
      <c r="N33" s="4">
        <f t="shared" si="30"/>
        <v>0.20000000000000015</v>
      </c>
      <c r="O33" s="4">
        <v>0</v>
      </c>
      <c r="P33" s="4">
        <v>0.1</v>
      </c>
      <c r="Q33" s="5">
        <v>0.5</v>
      </c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AA34-FAE9-4677-A685-AAB5AD82AB8C}">
  <dimension ref="A1:N21"/>
  <sheetViews>
    <sheetView workbookViewId="0">
      <selection activeCell="D21" sqref="D21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1</v>
      </c>
      <c r="E2" s="1">
        <v>0.1</v>
      </c>
      <c r="F2" s="1">
        <v>0.1</v>
      </c>
      <c r="G2" s="1">
        <f>B2*E2+C2*F2+L2</f>
        <v>1</v>
      </c>
      <c r="H2" s="1">
        <f>IF(G2&gt;N2, 1, 0)</f>
        <v>1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1</v>
      </c>
      <c r="M2" s="1">
        <v>0.1</v>
      </c>
      <c r="N2" s="2">
        <v>0.5</v>
      </c>
    </row>
    <row r="3" spans="1:14" x14ac:dyDescent="0.3">
      <c r="A3" s="19"/>
      <c r="B3">
        <v>0</v>
      </c>
      <c r="C3">
        <v>1</v>
      </c>
      <c r="D3">
        <v>1</v>
      </c>
      <c r="E3">
        <f>J2</f>
        <v>0.1</v>
      </c>
      <c r="F3">
        <f>K2</f>
        <v>0.1</v>
      </c>
      <c r="G3">
        <f>B3*E3+C3*F3+L3</f>
        <v>1.1000000000000001</v>
      </c>
      <c r="H3">
        <f>IF(G3&gt;N3, 1, 0)</f>
        <v>1</v>
      </c>
      <c r="I3">
        <f>D3-H3</f>
        <v>0</v>
      </c>
      <c r="J3">
        <f>E3+M3*I3*B3</f>
        <v>0.1</v>
      </c>
      <c r="K3">
        <f>F3+M3*I3*C3</f>
        <v>0.1</v>
      </c>
      <c r="L3">
        <v>1</v>
      </c>
      <c r="M3">
        <v>0.1</v>
      </c>
      <c r="N3" s="3">
        <v>0.5</v>
      </c>
    </row>
    <row r="4" spans="1:14" x14ac:dyDescent="0.3">
      <c r="A4" s="19"/>
      <c r="B4">
        <v>1</v>
      </c>
      <c r="C4">
        <v>0</v>
      </c>
      <c r="D4">
        <v>1</v>
      </c>
      <c r="E4">
        <f t="shared" ref="E4:E5" si="0">J3</f>
        <v>0.1</v>
      </c>
      <c r="F4">
        <f t="shared" ref="F4:F5" si="1">K3</f>
        <v>0.1</v>
      </c>
      <c r="G4">
        <f t="shared" ref="G4:G5" si="2">B4*E4+C4*F4+L4</f>
        <v>1.1000000000000001</v>
      </c>
      <c r="H4">
        <f t="shared" ref="H4:H5" si="3">IF(G4&gt;N4, 1, 0)</f>
        <v>1</v>
      </c>
      <c r="I4">
        <f t="shared" ref="I4:I5" si="4">D4-H4</f>
        <v>0</v>
      </c>
      <c r="J4">
        <f t="shared" ref="J4:J5" si="5">E4+M4*I4*B4</f>
        <v>0.1</v>
      </c>
      <c r="K4">
        <f t="shared" ref="K4:K5" si="6">F4+M4*I4*C4</f>
        <v>0.1</v>
      </c>
      <c r="L4">
        <v>1</v>
      </c>
      <c r="M4">
        <v>0.1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0</v>
      </c>
      <c r="E5" s="4">
        <f t="shared" si="0"/>
        <v>0.1</v>
      </c>
      <c r="F5" s="4">
        <f t="shared" si="1"/>
        <v>0.1</v>
      </c>
      <c r="G5" s="4">
        <f t="shared" si="2"/>
        <v>1.2</v>
      </c>
      <c r="H5" s="4">
        <f t="shared" si="3"/>
        <v>1</v>
      </c>
      <c r="I5" s="4">
        <f t="shared" si="4"/>
        <v>-1</v>
      </c>
      <c r="J5" s="4">
        <f t="shared" si="5"/>
        <v>0</v>
      </c>
      <c r="K5" s="4">
        <f t="shared" si="6"/>
        <v>0</v>
      </c>
      <c r="L5" s="4">
        <v>1</v>
      </c>
      <c r="M5" s="4">
        <v>0.1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1</v>
      </c>
      <c r="E6" s="1">
        <f t="shared" ref="E6:E9" si="7">J5</f>
        <v>0</v>
      </c>
      <c r="F6" s="1">
        <f t="shared" ref="F6:F9" si="8">K5</f>
        <v>0</v>
      </c>
      <c r="G6" s="1">
        <f t="shared" ref="G6:G9" si="9">B6*E6+C6*F6+L6</f>
        <v>1</v>
      </c>
      <c r="H6" s="1">
        <f t="shared" ref="H6:H9" si="10">IF(G6&gt;N6, 1, 0)</f>
        <v>1</v>
      </c>
      <c r="I6" s="1">
        <f t="shared" ref="I6:I9" si="11">D6-H6</f>
        <v>0</v>
      </c>
      <c r="J6" s="1">
        <f t="shared" ref="J6:J9" si="12">E6+M6*I6*B6</f>
        <v>0</v>
      </c>
      <c r="K6" s="1">
        <f t="shared" ref="K6:K9" si="13">F6+M6*I6*C6</f>
        <v>0</v>
      </c>
      <c r="L6" s="1">
        <v>1</v>
      </c>
      <c r="M6" s="1">
        <v>0.1</v>
      </c>
      <c r="N6" s="2">
        <v>0.5</v>
      </c>
    </row>
    <row r="7" spans="1:14" x14ac:dyDescent="0.3">
      <c r="A7" s="19"/>
      <c r="B7">
        <v>0</v>
      </c>
      <c r="C7">
        <v>1</v>
      </c>
      <c r="D7">
        <v>1</v>
      </c>
      <c r="E7">
        <f t="shared" si="7"/>
        <v>0</v>
      </c>
      <c r="F7">
        <f t="shared" si="8"/>
        <v>0</v>
      </c>
      <c r="G7">
        <f t="shared" si="9"/>
        <v>1</v>
      </c>
      <c r="H7">
        <f t="shared" si="10"/>
        <v>1</v>
      </c>
      <c r="I7">
        <f t="shared" si="11"/>
        <v>0</v>
      </c>
      <c r="J7">
        <f t="shared" si="12"/>
        <v>0</v>
      </c>
      <c r="K7">
        <f t="shared" si="13"/>
        <v>0</v>
      </c>
      <c r="L7">
        <v>1</v>
      </c>
      <c r="M7">
        <v>0.1</v>
      </c>
      <c r="N7" s="3">
        <v>0.5</v>
      </c>
    </row>
    <row r="8" spans="1:14" x14ac:dyDescent="0.3">
      <c r="A8" s="19"/>
      <c r="B8">
        <v>1</v>
      </c>
      <c r="C8">
        <v>0</v>
      </c>
      <c r="D8">
        <v>1</v>
      </c>
      <c r="E8">
        <f t="shared" si="7"/>
        <v>0</v>
      </c>
      <c r="F8">
        <f t="shared" si="8"/>
        <v>0</v>
      </c>
      <c r="G8">
        <f t="shared" si="9"/>
        <v>1</v>
      </c>
      <c r="H8">
        <f t="shared" si="10"/>
        <v>1</v>
      </c>
      <c r="I8">
        <f t="shared" si="11"/>
        <v>0</v>
      </c>
      <c r="J8">
        <f t="shared" si="12"/>
        <v>0</v>
      </c>
      <c r="K8">
        <f t="shared" si="13"/>
        <v>0</v>
      </c>
      <c r="L8">
        <v>1</v>
      </c>
      <c r="M8">
        <v>0.1</v>
      </c>
      <c r="N8" s="3">
        <v>0.5</v>
      </c>
    </row>
    <row r="9" spans="1:14" x14ac:dyDescent="0.3">
      <c r="A9" s="20"/>
      <c r="B9" s="4">
        <v>1</v>
      </c>
      <c r="C9" s="4">
        <v>1</v>
      </c>
      <c r="D9" s="4">
        <v>0</v>
      </c>
      <c r="E9" s="4">
        <f t="shared" si="7"/>
        <v>0</v>
      </c>
      <c r="F9" s="4">
        <f t="shared" si="8"/>
        <v>0</v>
      </c>
      <c r="G9" s="4">
        <f t="shared" si="9"/>
        <v>1</v>
      </c>
      <c r="H9" s="4">
        <f t="shared" si="10"/>
        <v>1</v>
      </c>
      <c r="I9" s="4">
        <f t="shared" si="11"/>
        <v>-1</v>
      </c>
      <c r="J9" s="4">
        <f t="shared" si="12"/>
        <v>-0.1</v>
      </c>
      <c r="K9" s="4">
        <f t="shared" si="13"/>
        <v>-0.1</v>
      </c>
      <c r="L9" s="4">
        <v>1</v>
      </c>
      <c r="M9" s="4">
        <v>0.1</v>
      </c>
      <c r="N9" s="5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1</v>
      </c>
      <c r="E10" s="1">
        <f t="shared" ref="E10:E13" si="14">J9</f>
        <v>-0.1</v>
      </c>
      <c r="F10" s="1">
        <f t="shared" ref="F10:F13" si="15">K9</f>
        <v>-0.1</v>
      </c>
      <c r="G10" s="1">
        <f t="shared" ref="G10:G13" si="16">B10*E10+C10*F10+L10</f>
        <v>1</v>
      </c>
      <c r="H10" s="1">
        <f t="shared" ref="H10:H13" si="17">IF(G10&gt;N10, 1, 0)</f>
        <v>1</v>
      </c>
      <c r="I10" s="1">
        <f t="shared" ref="I10:I13" si="18">D10-H10</f>
        <v>0</v>
      </c>
      <c r="J10" s="1">
        <f t="shared" ref="J10:J13" si="19">E10+M10*I10*B10</f>
        <v>-0.1</v>
      </c>
      <c r="K10" s="1">
        <f t="shared" ref="K10:K13" si="20">F10+M10*I10*C10</f>
        <v>-0.1</v>
      </c>
      <c r="L10" s="1">
        <v>1</v>
      </c>
      <c r="M10" s="1">
        <v>0.1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1</v>
      </c>
      <c r="E11">
        <f t="shared" si="14"/>
        <v>-0.1</v>
      </c>
      <c r="F11">
        <f t="shared" si="15"/>
        <v>-0.1</v>
      </c>
      <c r="G11">
        <f t="shared" si="16"/>
        <v>0.9</v>
      </c>
      <c r="H11">
        <f t="shared" si="17"/>
        <v>1</v>
      </c>
      <c r="I11">
        <f t="shared" si="18"/>
        <v>0</v>
      </c>
      <c r="J11">
        <f t="shared" si="19"/>
        <v>-0.1</v>
      </c>
      <c r="K11">
        <f t="shared" si="20"/>
        <v>-0.1</v>
      </c>
      <c r="L11">
        <v>1</v>
      </c>
      <c r="M11">
        <v>0.1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1</v>
      </c>
      <c r="E12">
        <f t="shared" si="14"/>
        <v>-0.1</v>
      </c>
      <c r="F12">
        <f t="shared" si="15"/>
        <v>-0.1</v>
      </c>
      <c r="G12">
        <f t="shared" si="16"/>
        <v>0.9</v>
      </c>
      <c r="H12">
        <f t="shared" si="17"/>
        <v>1</v>
      </c>
      <c r="I12">
        <f t="shared" si="18"/>
        <v>0</v>
      </c>
      <c r="J12">
        <f t="shared" si="19"/>
        <v>-0.1</v>
      </c>
      <c r="K12">
        <f t="shared" si="20"/>
        <v>-0.1</v>
      </c>
      <c r="L12">
        <v>1</v>
      </c>
      <c r="M12">
        <v>0.1</v>
      </c>
      <c r="N12" s="3">
        <v>0.5</v>
      </c>
    </row>
    <row r="13" spans="1:14" x14ac:dyDescent="0.3">
      <c r="A13" s="20"/>
      <c r="B13" s="4">
        <v>1</v>
      </c>
      <c r="C13" s="4">
        <v>1</v>
      </c>
      <c r="D13" s="4">
        <v>0</v>
      </c>
      <c r="E13" s="4">
        <f t="shared" si="14"/>
        <v>-0.1</v>
      </c>
      <c r="F13" s="4">
        <f t="shared" si="15"/>
        <v>-0.1</v>
      </c>
      <c r="G13" s="4">
        <f t="shared" si="16"/>
        <v>0.8</v>
      </c>
      <c r="H13" s="4">
        <f t="shared" si="17"/>
        <v>1</v>
      </c>
      <c r="I13" s="4">
        <f t="shared" si="18"/>
        <v>-1</v>
      </c>
      <c r="J13" s="4">
        <f t="shared" si="19"/>
        <v>-0.2</v>
      </c>
      <c r="K13" s="4">
        <f t="shared" si="20"/>
        <v>-0.2</v>
      </c>
      <c r="L13" s="4">
        <v>1</v>
      </c>
      <c r="M13" s="4">
        <v>0.1</v>
      </c>
      <c r="N13" s="5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1</v>
      </c>
      <c r="E14" s="1">
        <f t="shared" ref="E14:E17" si="21">J13</f>
        <v>-0.2</v>
      </c>
      <c r="F14" s="1">
        <f t="shared" ref="F14:F17" si="22">K13</f>
        <v>-0.2</v>
      </c>
      <c r="G14" s="1">
        <f t="shared" ref="G14:G17" si="23">B14*E14+C14*F14+L14</f>
        <v>1</v>
      </c>
      <c r="H14" s="1">
        <f t="shared" ref="H14:H17" si="24">IF(G14&gt;N14, 1, 0)</f>
        <v>1</v>
      </c>
      <c r="I14" s="1">
        <f t="shared" ref="I14:I17" si="25">D14-H14</f>
        <v>0</v>
      </c>
      <c r="J14" s="1">
        <f t="shared" ref="J14:J17" si="26">E14+M14*I14*B14</f>
        <v>-0.2</v>
      </c>
      <c r="K14" s="1">
        <f t="shared" ref="K14:K17" si="27">F14+M14*I14*C14</f>
        <v>-0.2</v>
      </c>
      <c r="L14" s="1">
        <v>1</v>
      </c>
      <c r="M14" s="1">
        <v>0.1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1</v>
      </c>
      <c r="E15">
        <f t="shared" si="21"/>
        <v>-0.2</v>
      </c>
      <c r="F15">
        <f t="shared" si="22"/>
        <v>-0.2</v>
      </c>
      <c r="G15">
        <f t="shared" si="23"/>
        <v>0.8</v>
      </c>
      <c r="H15">
        <f t="shared" si="24"/>
        <v>1</v>
      </c>
      <c r="I15">
        <f t="shared" si="25"/>
        <v>0</v>
      </c>
      <c r="J15">
        <f t="shared" si="26"/>
        <v>-0.2</v>
      </c>
      <c r="K15">
        <f t="shared" si="27"/>
        <v>-0.2</v>
      </c>
      <c r="L15">
        <v>1</v>
      </c>
      <c r="M15">
        <v>0.1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1</v>
      </c>
      <c r="E16">
        <f t="shared" si="21"/>
        <v>-0.2</v>
      </c>
      <c r="F16">
        <f t="shared" si="22"/>
        <v>-0.2</v>
      </c>
      <c r="G16">
        <f t="shared" si="23"/>
        <v>0.8</v>
      </c>
      <c r="H16">
        <f t="shared" si="24"/>
        <v>1</v>
      </c>
      <c r="I16">
        <f t="shared" si="25"/>
        <v>0</v>
      </c>
      <c r="J16">
        <f t="shared" si="26"/>
        <v>-0.2</v>
      </c>
      <c r="K16">
        <f t="shared" si="27"/>
        <v>-0.2</v>
      </c>
      <c r="L16">
        <v>1</v>
      </c>
      <c r="M16">
        <v>0.1</v>
      </c>
      <c r="N16" s="3">
        <v>0.5</v>
      </c>
    </row>
    <row r="17" spans="1:14" x14ac:dyDescent="0.3">
      <c r="A17" s="20"/>
      <c r="B17" s="4">
        <v>1</v>
      </c>
      <c r="C17" s="4">
        <v>1</v>
      </c>
      <c r="D17" s="4">
        <v>0</v>
      </c>
      <c r="E17" s="4">
        <f t="shared" si="21"/>
        <v>-0.2</v>
      </c>
      <c r="F17" s="4">
        <f t="shared" si="22"/>
        <v>-0.2</v>
      </c>
      <c r="G17" s="4">
        <f t="shared" si="23"/>
        <v>0.6</v>
      </c>
      <c r="H17" s="4">
        <f t="shared" si="24"/>
        <v>1</v>
      </c>
      <c r="I17" s="4">
        <f t="shared" si="25"/>
        <v>-1</v>
      </c>
      <c r="J17" s="4">
        <f t="shared" si="26"/>
        <v>-0.30000000000000004</v>
      </c>
      <c r="K17" s="4">
        <f t="shared" si="27"/>
        <v>-0.30000000000000004</v>
      </c>
      <c r="L17" s="4">
        <v>1</v>
      </c>
      <c r="M17" s="4">
        <v>0.1</v>
      </c>
      <c r="N17" s="5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1</v>
      </c>
      <c r="E18" s="1">
        <f t="shared" ref="E18:E21" si="28">J17</f>
        <v>-0.30000000000000004</v>
      </c>
      <c r="F18" s="1">
        <f t="shared" ref="F18:F21" si="29">K17</f>
        <v>-0.30000000000000004</v>
      </c>
      <c r="G18" s="1">
        <f t="shared" ref="G18:G21" si="30">B18*E18+C18*F18+L18</f>
        <v>1</v>
      </c>
      <c r="H18" s="1">
        <f t="shared" ref="H18:H21" si="31">IF(G18&gt;N18, 1, 0)</f>
        <v>1</v>
      </c>
      <c r="I18" s="1">
        <f t="shared" ref="I18:I21" si="32">D18-H18</f>
        <v>0</v>
      </c>
      <c r="J18" s="1">
        <f t="shared" ref="J18:J21" si="33">E18+M18*I18*B18</f>
        <v>-0.30000000000000004</v>
      </c>
      <c r="K18" s="1">
        <f t="shared" ref="K18:K21" si="34">F18+M18*I18*C18</f>
        <v>-0.30000000000000004</v>
      </c>
      <c r="L18" s="1">
        <v>1</v>
      </c>
      <c r="M18" s="1">
        <v>0.1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1</v>
      </c>
      <c r="E19">
        <f t="shared" si="28"/>
        <v>-0.30000000000000004</v>
      </c>
      <c r="F19">
        <f t="shared" si="29"/>
        <v>-0.30000000000000004</v>
      </c>
      <c r="G19">
        <f t="shared" si="30"/>
        <v>0.7</v>
      </c>
      <c r="H19">
        <f t="shared" si="31"/>
        <v>1</v>
      </c>
      <c r="I19">
        <f t="shared" si="32"/>
        <v>0</v>
      </c>
      <c r="J19">
        <f t="shared" si="33"/>
        <v>-0.30000000000000004</v>
      </c>
      <c r="K19">
        <f t="shared" si="34"/>
        <v>-0.30000000000000004</v>
      </c>
      <c r="L19">
        <v>1</v>
      </c>
      <c r="M19">
        <v>0.1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1</v>
      </c>
      <c r="E20">
        <f t="shared" si="28"/>
        <v>-0.30000000000000004</v>
      </c>
      <c r="F20">
        <f t="shared" si="29"/>
        <v>-0.30000000000000004</v>
      </c>
      <c r="G20">
        <f t="shared" si="30"/>
        <v>0.7</v>
      </c>
      <c r="H20">
        <f t="shared" si="31"/>
        <v>1</v>
      </c>
      <c r="I20">
        <f t="shared" si="32"/>
        <v>0</v>
      </c>
      <c r="J20">
        <f t="shared" si="33"/>
        <v>-0.30000000000000004</v>
      </c>
      <c r="K20">
        <f t="shared" si="34"/>
        <v>-0.30000000000000004</v>
      </c>
      <c r="L20">
        <v>1</v>
      </c>
      <c r="M20">
        <v>0.1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0</v>
      </c>
      <c r="E21" s="4">
        <f t="shared" si="28"/>
        <v>-0.30000000000000004</v>
      </c>
      <c r="F21" s="4">
        <f t="shared" si="29"/>
        <v>-0.30000000000000004</v>
      </c>
      <c r="G21" s="4">
        <f t="shared" si="30"/>
        <v>0.39999999999999991</v>
      </c>
      <c r="H21" s="4">
        <f t="shared" si="31"/>
        <v>0</v>
      </c>
      <c r="I21" s="4">
        <f t="shared" si="32"/>
        <v>0</v>
      </c>
      <c r="J21" s="4">
        <f t="shared" si="33"/>
        <v>-0.30000000000000004</v>
      </c>
      <c r="K21" s="4">
        <f t="shared" si="34"/>
        <v>-0.30000000000000004</v>
      </c>
      <c r="L21" s="4">
        <v>1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E537-E759-4F4F-B62C-3BAFAADC957C}">
  <dimension ref="A1:Q33"/>
  <sheetViews>
    <sheetView workbookViewId="0">
      <selection activeCell="O18" sqref="O18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35">
        <v>1</v>
      </c>
      <c r="B2" s="1">
        <v>0</v>
      </c>
      <c r="C2" s="1">
        <v>0</v>
      </c>
      <c r="D2" s="1">
        <v>0</v>
      </c>
      <c r="E2" s="1">
        <v>1</v>
      </c>
      <c r="F2" s="1">
        <v>0.1</v>
      </c>
      <c r="G2" s="1">
        <v>0.1</v>
      </c>
      <c r="H2" s="1">
        <v>0.1</v>
      </c>
      <c r="I2" s="1">
        <f>B2*F2+C2*G2+D2*H2+O2</f>
        <v>1</v>
      </c>
      <c r="J2" s="1">
        <f>IF(I2&gt;Q2,1,0)</f>
        <v>1</v>
      </c>
      <c r="K2" s="1">
        <f>E2-J2</f>
        <v>0</v>
      </c>
      <c r="L2" s="1">
        <f>F2+(P2*K2*B2)</f>
        <v>0.1</v>
      </c>
      <c r="M2" s="1">
        <f>F2+(P2*K2*C2)</f>
        <v>0.1</v>
      </c>
      <c r="N2" s="1">
        <f>F2+(P2*K2*D2)</f>
        <v>0.1</v>
      </c>
      <c r="O2">
        <v>1</v>
      </c>
      <c r="P2" s="1">
        <v>0.1</v>
      </c>
      <c r="Q2" s="2">
        <v>0.5</v>
      </c>
    </row>
    <row r="3" spans="1:17" x14ac:dyDescent="0.3">
      <c r="A3" s="36"/>
      <c r="B3">
        <v>0</v>
      </c>
      <c r="C3">
        <v>0</v>
      </c>
      <c r="D3">
        <v>1</v>
      </c>
      <c r="E3">
        <v>1</v>
      </c>
      <c r="F3">
        <f>L2</f>
        <v>0.1</v>
      </c>
      <c r="G3">
        <f>M2</f>
        <v>0.1</v>
      </c>
      <c r="H3">
        <f>N2</f>
        <v>0.1</v>
      </c>
      <c r="I3">
        <f t="shared" ref="I3:I9" si="0">B3*F3+C3*G3+D3*H3+O3</f>
        <v>1.1000000000000001</v>
      </c>
      <c r="J3">
        <f t="shared" ref="J3:J9" si="1">IF(I3&gt;Q3,1,0)</f>
        <v>1</v>
      </c>
      <c r="K3">
        <f t="shared" ref="K3:K9" si="2">E3-J3</f>
        <v>0</v>
      </c>
      <c r="L3">
        <f t="shared" ref="L3:L9" si="3">F3+(P3*K3*B3)</f>
        <v>0.1</v>
      </c>
      <c r="M3">
        <f t="shared" ref="M3:M9" si="4">F3+(P3*K3*C3)</f>
        <v>0.1</v>
      </c>
      <c r="N3">
        <f t="shared" ref="N3:N9" si="5">F3+(P3*K3*D3)</f>
        <v>0.1</v>
      </c>
      <c r="O3">
        <v>1</v>
      </c>
      <c r="P3">
        <v>0.1</v>
      </c>
      <c r="Q3" s="3">
        <v>0.5</v>
      </c>
    </row>
    <row r="4" spans="1:17" x14ac:dyDescent="0.3">
      <c r="A4" s="36"/>
      <c r="B4">
        <v>0</v>
      </c>
      <c r="C4">
        <v>1</v>
      </c>
      <c r="D4">
        <v>0</v>
      </c>
      <c r="E4">
        <v>1</v>
      </c>
      <c r="F4">
        <f t="shared" ref="F4:H17" si="6">L3</f>
        <v>0.1</v>
      </c>
      <c r="G4">
        <f t="shared" si="6"/>
        <v>0.1</v>
      </c>
      <c r="H4">
        <f t="shared" si="6"/>
        <v>0.1</v>
      </c>
      <c r="I4">
        <f t="shared" si="0"/>
        <v>1.1000000000000001</v>
      </c>
      <c r="J4">
        <f t="shared" si="1"/>
        <v>1</v>
      </c>
      <c r="K4">
        <f t="shared" si="2"/>
        <v>0</v>
      </c>
      <c r="L4">
        <f t="shared" si="3"/>
        <v>0.1</v>
      </c>
      <c r="M4">
        <f t="shared" si="4"/>
        <v>0.1</v>
      </c>
      <c r="N4">
        <f t="shared" si="5"/>
        <v>0.1</v>
      </c>
      <c r="O4">
        <v>1</v>
      </c>
      <c r="P4">
        <v>0.1</v>
      </c>
      <c r="Q4" s="3">
        <v>0.5</v>
      </c>
    </row>
    <row r="5" spans="1:17" x14ac:dyDescent="0.3">
      <c r="A5" s="36"/>
      <c r="B5">
        <v>0</v>
      </c>
      <c r="C5">
        <v>1</v>
      </c>
      <c r="D5">
        <v>1</v>
      </c>
      <c r="E5">
        <v>1</v>
      </c>
      <c r="F5">
        <f t="shared" si="6"/>
        <v>0.1</v>
      </c>
      <c r="G5">
        <f t="shared" si="6"/>
        <v>0.1</v>
      </c>
      <c r="H5">
        <f t="shared" si="6"/>
        <v>0.1</v>
      </c>
      <c r="I5">
        <f t="shared" si="0"/>
        <v>1.2</v>
      </c>
      <c r="J5">
        <f t="shared" si="1"/>
        <v>1</v>
      </c>
      <c r="K5">
        <f t="shared" si="2"/>
        <v>0</v>
      </c>
      <c r="L5">
        <f t="shared" si="3"/>
        <v>0.1</v>
      </c>
      <c r="M5">
        <f t="shared" si="4"/>
        <v>0.1</v>
      </c>
      <c r="N5">
        <f t="shared" si="5"/>
        <v>0.1</v>
      </c>
      <c r="O5">
        <v>1</v>
      </c>
      <c r="P5">
        <v>0.1</v>
      </c>
      <c r="Q5" s="3">
        <v>0.5</v>
      </c>
    </row>
    <row r="6" spans="1:17" x14ac:dyDescent="0.3">
      <c r="A6" s="36"/>
      <c r="B6">
        <v>1</v>
      </c>
      <c r="C6">
        <v>0</v>
      </c>
      <c r="D6">
        <v>0</v>
      </c>
      <c r="E6">
        <v>1</v>
      </c>
      <c r="F6">
        <f t="shared" si="6"/>
        <v>0.1</v>
      </c>
      <c r="G6">
        <f t="shared" si="6"/>
        <v>0.1</v>
      </c>
      <c r="H6">
        <f t="shared" si="6"/>
        <v>0.1</v>
      </c>
      <c r="I6">
        <f t="shared" si="0"/>
        <v>1.1000000000000001</v>
      </c>
      <c r="J6">
        <f t="shared" si="1"/>
        <v>1</v>
      </c>
      <c r="K6">
        <f t="shared" si="2"/>
        <v>0</v>
      </c>
      <c r="L6">
        <f t="shared" si="3"/>
        <v>0.1</v>
      </c>
      <c r="M6">
        <f t="shared" si="4"/>
        <v>0.1</v>
      </c>
      <c r="N6">
        <f t="shared" si="5"/>
        <v>0.1</v>
      </c>
      <c r="O6">
        <v>1</v>
      </c>
      <c r="P6">
        <v>0.1</v>
      </c>
      <c r="Q6" s="3">
        <v>0.5</v>
      </c>
    </row>
    <row r="7" spans="1:17" x14ac:dyDescent="0.3">
      <c r="A7" s="36"/>
      <c r="B7">
        <v>1</v>
      </c>
      <c r="C7">
        <v>0</v>
      </c>
      <c r="D7">
        <v>1</v>
      </c>
      <c r="E7">
        <v>1</v>
      </c>
      <c r="F7">
        <f t="shared" si="6"/>
        <v>0.1</v>
      </c>
      <c r="G7">
        <f t="shared" si="6"/>
        <v>0.1</v>
      </c>
      <c r="H7">
        <f t="shared" si="6"/>
        <v>0.1</v>
      </c>
      <c r="I7">
        <f t="shared" si="0"/>
        <v>1.2</v>
      </c>
      <c r="J7">
        <f t="shared" si="1"/>
        <v>1</v>
      </c>
      <c r="K7">
        <f t="shared" si="2"/>
        <v>0</v>
      </c>
      <c r="L7">
        <f t="shared" si="3"/>
        <v>0.1</v>
      </c>
      <c r="M7">
        <f t="shared" si="4"/>
        <v>0.1</v>
      </c>
      <c r="N7">
        <f t="shared" si="5"/>
        <v>0.1</v>
      </c>
      <c r="O7">
        <v>1</v>
      </c>
      <c r="P7">
        <v>0.1</v>
      </c>
      <c r="Q7" s="3">
        <v>0.5</v>
      </c>
    </row>
    <row r="8" spans="1:17" x14ac:dyDescent="0.3">
      <c r="A8" s="36"/>
      <c r="B8">
        <v>1</v>
      </c>
      <c r="C8">
        <v>1</v>
      </c>
      <c r="D8">
        <v>0</v>
      </c>
      <c r="E8">
        <v>1</v>
      </c>
      <c r="F8">
        <f t="shared" si="6"/>
        <v>0.1</v>
      </c>
      <c r="G8">
        <f t="shared" si="6"/>
        <v>0.1</v>
      </c>
      <c r="H8">
        <f t="shared" si="6"/>
        <v>0.1</v>
      </c>
      <c r="I8">
        <f t="shared" si="0"/>
        <v>1.2</v>
      </c>
      <c r="J8">
        <f t="shared" si="1"/>
        <v>1</v>
      </c>
      <c r="K8">
        <f t="shared" si="2"/>
        <v>0</v>
      </c>
      <c r="L8">
        <f t="shared" si="3"/>
        <v>0.1</v>
      </c>
      <c r="M8">
        <f t="shared" si="4"/>
        <v>0.1</v>
      </c>
      <c r="N8">
        <f t="shared" si="5"/>
        <v>0.1</v>
      </c>
      <c r="O8">
        <v>1</v>
      </c>
      <c r="P8">
        <v>0.1</v>
      </c>
      <c r="Q8" s="3">
        <v>0.5</v>
      </c>
    </row>
    <row r="9" spans="1:17" x14ac:dyDescent="0.3">
      <c r="A9" s="36"/>
      <c r="B9">
        <v>1</v>
      </c>
      <c r="C9">
        <v>1</v>
      </c>
      <c r="D9">
        <v>1</v>
      </c>
      <c r="E9">
        <v>0</v>
      </c>
      <c r="F9">
        <f t="shared" si="6"/>
        <v>0.1</v>
      </c>
      <c r="G9">
        <f t="shared" si="6"/>
        <v>0.1</v>
      </c>
      <c r="H9">
        <f t="shared" si="6"/>
        <v>0.1</v>
      </c>
      <c r="I9">
        <f t="shared" si="0"/>
        <v>1.3</v>
      </c>
      <c r="J9">
        <f t="shared" si="1"/>
        <v>1</v>
      </c>
      <c r="K9">
        <f t="shared" si="2"/>
        <v>-1</v>
      </c>
      <c r="L9">
        <f t="shared" si="3"/>
        <v>0</v>
      </c>
      <c r="M9">
        <f t="shared" si="4"/>
        <v>0</v>
      </c>
      <c r="N9">
        <f t="shared" si="5"/>
        <v>0</v>
      </c>
      <c r="O9" s="4">
        <v>1</v>
      </c>
      <c r="P9">
        <v>0.1</v>
      </c>
      <c r="Q9" s="3">
        <v>0.5</v>
      </c>
    </row>
    <row r="10" spans="1:17" x14ac:dyDescent="0.3">
      <c r="A10" s="24">
        <v>2</v>
      </c>
      <c r="B10" s="1">
        <v>0</v>
      </c>
      <c r="C10" s="1">
        <v>0</v>
      </c>
      <c r="D10" s="1">
        <v>0</v>
      </c>
      <c r="E10" s="1">
        <v>1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>B10*F10+C10*G10+D10*H10+O10</f>
        <v>1</v>
      </c>
      <c r="J10" s="1">
        <f>IF(I10&gt;Q10,1,0)</f>
        <v>1</v>
      </c>
      <c r="K10" s="1">
        <f>E10-J10</f>
        <v>0</v>
      </c>
      <c r="L10" s="1">
        <f>F10+(P10*K10*B10)</f>
        <v>0</v>
      </c>
      <c r="M10" s="1">
        <f>F10+(P10*K10*C10)</f>
        <v>0</v>
      </c>
      <c r="N10" s="1">
        <f>F10+(P10*K10*D10)</f>
        <v>0</v>
      </c>
      <c r="O10">
        <v>1</v>
      </c>
      <c r="P10" s="1">
        <v>0.1</v>
      </c>
      <c r="Q10" s="2">
        <v>0.5</v>
      </c>
    </row>
    <row r="11" spans="1:17" x14ac:dyDescent="0.3">
      <c r="A11" s="25"/>
      <c r="B11">
        <v>0</v>
      </c>
      <c r="C11">
        <v>0</v>
      </c>
      <c r="D11">
        <v>1</v>
      </c>
      <c r="E11">
        <v>1</v>
      </c>
      <c r="F11">
        <f t="shared" si="6"/>
        <v>0</v>
      </c>
      <c r="G11">
        <f t="shared" si="6"/>
        <v>0</v>
      </c>
      <c r="H11">
        <f t="shared" si="6"/>
        <v>0</v>
      </c>
      <c r="I11">
        <f t="shared" ref="I11:I17" si="7">B11*F11+C11*G11+D11*H11+O11</f>
        <v>1</v>
      </c>
      <c r="J11">
        <f t="shared" ref="J11:J17" si="8">IF(I11&gt;Q11,1,0)</f>
        <v>1</v>
      </c>
      <c r="K11">
        <f t="shared" ref="K11:K17" si="9">E11-J11</f>
        <v>0</v>
      </c>
      <c r="L11">
        <f t="shared" ref="L11:L17" si="10">F11+(P11*K11*B11)</f>
        <v>0</v>
      </c>
      <c r="M11">
        <f t="shared" ref="M11:M17" si="11">F11+(P11*K11*C11)</f>
        <v>0</v>
      </c>
      <c r="N11">
        <f t="shared" ref="N11:N17" si="12">F11+(P11*K11*D11)</f>
        <v>0</v>
      </c>
      <c r="O11">
        <v>1</v>
      </c>
      <c r="P11">
        <v>0.1</v>
      </c>
      <c r="Q11" s="3">
        <v>0.5</v>
      </c>
    </row>
    <row r="12" spans="1:17" x14ac:dyDescent="0.3">
      <c r="A12" s="25"/>
      <c r="B12">
        <v>0</v>
      </c>
      <c r="C12">
        <v>1</v>
      </c>
      <c r="D12">
        <v>0</v>
      </c>
      <c r="E12">
        <v>1</v>
      </c>
      <c r="F12">
        <f t="shared" si="6"/>
        <v>0</v>
      </c>
      <c r="G12">
        <f t="shared" si="6"/>
        <v>0</v>
      </c>
      <c r="H12">
        <f t="shared" si="6"/>
        <v>0</v>
      </c>
      <c r="I12">
        <f t="shared" si="7"/>
        <v>1</v>
      </c>
      <c r="J12">
        <f t="shared" si="8"/>
        <v>1</v>
      </c>
      <c r="K12">
        <f t="shared" si="9"/>
        <v>0</v>
      </c>
      <c r="L12">
        <f t="shared" si="10"/>
        <v>0</v>
      </c>
      <c r="M12">
        <f t="shared" si="11"/>
        <v>0</v>
      </c>
      <c r="N12">
        <f t="shared" si="12"/>
        <v>0</v>
      </c>
      <c r="O12">
        <v>1</v>
      </c>
      <c r="P12">
        <v>0.1</v>
      </c>
      <c r="Q12" s="3">
        <v>0.5</v>
      </c>
    </row>
    <row r="13" spans="1:17" x14ac:dyDescent="0.3">
      <c r="A13" s="25"/>
      <c r="B13">
        <v>0</v>
      </c>
      <c r="C13">
        <v>1</v>
      </c>
      <c r="D13">
        <v>1</v>
      </c>
      <c r="E13">
        <v>1</v>
      </c>
      <c r="F13">
        <f t="shared" si="6"/>
        <v>0</v>
      </c>
      <c r="G13">
        <f t="shared" si="6"/>
        <v>0</v>
      </c>
      <c r="H13">
        <f t="shared" si="6"/>
        <v>0</v>
      </c>
      <c r="I13">
        <f t="shared" si="7"/>
        <v>1</v>
      </c>
      <c r="J13">
        <f t="shared" si="8"/>
        <v>1</v>
      </c>
      <c r="K13">
        <f t="shared" si="9"/>
        <v>0</v>
      </c>
      <c r="L13">
        <f t="shared" si="10"/>
        <v>0</v>
      </c>
      <c r="M13">
        <f t="shared" si="11"/>
        <v>0</v>
      </c>
      <c r="N13">
        <f t="shared" si="12"/>
        <v>0</v>
      </c>
      <c r="O13">
        <v>1</v>
      </c>
      <c r="P13">
        <v>0.1</v>
      </c>
      <c r="Q13" s="3">
        <v>0.5</v>
      </c>
    </row>
    <row r="14" spans="1:17" x14ac:dyDescent="0.3">
      <c r="A14" s="25"/>
      <c r="B14">
        <v>1</v>
      </c>
      <c r="C14">
        <v>0</v>
      </c>
      <c r="D14">
        <v>0</v>
      </c>
      <c r="E14">
        <v>1</v>
      </c>
      <c r="F14">
        <f t="shared" si="6"/>
        <v>0</v>
      </c>
      <c r="G14">
        <f t="shared" si="6"/>
        <v>0</v>
      </c>
      <c r="H14">
        <f t="shared" si="6"/>
        <v>0</v>
      </c>
      <c r="I14">
        <f t="shared" si="7"/>
        <v>1</v>
      </c>
      <c r="J14">
        <f t="shared" si="8"/>
        <v>1</v>
      </c>
      <c r="K14">
        <f t="shared" si="9"/>
        <v>0</v>
      </c>
      <c r="L14">
        <f t="shared" si="10"/>
        <v>0</v>
      </c>
      <c r="M14">
        <f t="shared" si="11"/>
        <v>0</v>
      </c>
      <c r="N14">
        <f t="shared" si="12"/>
        <v>0</v>
      </c>
      <c r="O14">
        <v>1</v>
      </c>
      <c r="P14">
        <v>0.1</v>
      </c>
      <c r="Q14" s="3">
        <v>0.5</v>
      </c>
    </row>
    <row r="15" spans="1:17" x14ac:dyDescent="0.3">
      <c r="A15" s="25"/>
      <c r="B15">
        <v>1</v>
      </c>
      <c r="C15">
        <v>0</v>
      </c>
      <c r="D15">
        <v>1</v>
      </c>
      <c r="E15">
        <v>1</v>
      </c>
      <c r="F15">
        <f t="shared" si="6"/>
        <v>0</v>
      </c>
      <c r="G15">
        <f t="shared" si="6"/>
        <v>0</v>
      </c>
      <c r="H15">
        <f t="shared" si="6"/>
        <v>0</v>
      </c>
      <c r="I15">
        <f t="shared" si="7"/>
        <v>1</v>
      </c>
      <c r="J15">
        <f t="shared" si="8"/>
        <v>1</v>
      </c>
      <c r="K15">
        <f t="shared" si="9"/>
        <v>0</v>
      </c>
      <c r="L15">
        <f t="shared" si="10"/>
        <v>0</v>
      </c>
      <c r="M15">
        <f t="shared" si="11"/>
        <v>0</v>
      </c>
      <c r="N15">
        <f t="shared" si="12"/>
        <v>0</v>
      </c>
      <c r="O15">
        <v>1</v>
      </c>
      <c r="P15">
        <v>0.1</v>
      </c>
      <c r="Q15" s="3">
        <v>0.5</v>
      </c>
    </row>
    <row r="16" spans="1:17" x14ac:dyDescent="0.3">
      <c r="A16" s="25"/>
      <c r="B16">
        <v>1</v>
      </c>
      <c r="C16">
        <v>1</v>
      </c>
      <c r="D16">
        <v>0</v>
      </c>
      <c r="E16">
        <v>1</v>
      </c>
      <c r="F16">
        <f t="shared" si="6"/>
        <v>0</v>
      </c>
      <c r="G16">
        <f t="shared" si="6"/>
        <v>0</v>
      </c>
      <c r="H16">
        <f t="shared" si="6"/>
        <v>0</v>
      </c>
      <c r="I16">
        <f t="shared" si="7"/>
        <v>1</v>
      </c>
      <c r="J16">
        <f t="shared" si="8"/>
        <v>1</v>
      </c>
      <c r="K16">
        <f t="shared" si="9"/>
        <v>0</v>
      </c>
      <c r="L16">
        <f t="shared" si="10"/>
        <v>0</v>
      </c>
      <c r="M16">
        <f t="shared" si="11"/>
        <v>0</v>
      </c>
      <c r="N16">
        <f t="shared" si="12"/>
        <v>0</v>
      </c>
      <c r="O16">
        <v>1</v>
      </c>
      <c r="P16">
        <v>0.1</v>
      </c>
      <c r="Q16" s="3">
        <v>0.5</v>
      </c>
    </row>
    <row r="17" spans="1:17" x14ac:dyDescent="0.3">
      <c r="A17" s="26"/>
      <c r="B17" s="4">
        <v>1</v>
      </c>
      <c r="C17" s="4">
        <v>1</v>
      </c>
      <c r="D17" s="4">
        <v>1</v>
      </c>
      <c r="E17" s="4">
        <v>0</v>
      </c>
      <c r="F17" s="4">
        <f t="shared" si="6"/>
        <v>0</v>
      </c>
      <c r="G17" s="4">
        <f t="shared" si="6"/>
        <v>0</v>
      </c>
      <c r="H17" s="4">
        <f t="shared" si="6"/>
        <v>0</v>
      </c>
      <c r="I17" s="4">
        <f t="shared" si="7"/>
        <v>1</v>
      </c>
      <c r="J17" s="4">
        <f t="shared" si="8"/>
        <v>1</v>
      </c>
      <c r="K17" s="4">
        <f t="shared" si="9"/>
        <v>-1</v>
      </c>
      <c r="L17" s="4">
        <f t="shared" si="10"/>
        <v>-0.1</v>
      </c>
      <c r="M17" s="4">
        <f t="shared" si="11"/>
        <v>-0.1</v>
      </c>
      <c r="N17" s="4">
        <f t="shared" si="12"/>
        <v>-0.1</v>
      </c>
      <c r="O17" s="4">
        <v>1</v>
      </c>
      <c r="P17" s="4">
        <v>0.1</v>
      </c>
      <c r="Q17" s="5">
        <v>0.5</v>
      </c>
    </row>
    <row r="18" spans="1:17" x14ac:dyDescent="0.3">
      <c r="A18" s="24">
        <v>3</v>
      </c>
      <c r="B18" s="1">
        <v>0</v>
      </c>
      <c r="C18" s="1">
        <v>0</v>
      </c>
      <c r="D18" s="1">
        <v>0</v>
      </c>
      <c r="E18" s="1">
        <v>1</v>
      </c>
      <c r="F18" s="1">
        <f t="shared" ref="F18:F33" si="13">L17</f>
        <v>-0.1</v>
      </c>
      <c r="G18" s="1">
        <f t="shared" ref="G18:G33" si="14">M17</f>
        <v>-0.1</v>
      </c>
      <c r="H18" s="1">
        <f t="shared" ref="H18:H33" si="15">N17</f>
        <v>-0.1</v>
      </c>
      <c r="I18" s="1">
        <f>B18*F18+C18*G18+D18*H18+O18</f>
        <v>1</v>
      </c>
      <c r="J18" s="1">
        <f>IF(I18&gt;Q18,1,0)</f>
        <v>1</v>
      </c>
      <c r="K18" s="1">
        <f>E18-J18</f>
        <v>0</v>
      </c>
      <c r="L18" s="1">
        <f>F18+(P18*K18*B18)</f>
        <v>-0.1</v>
      </c>
      <c r="M18" s="1">
        <f>F18+(P18*K18*C18)</f>
        <v>-0.1</v>
      </c>
      <c r="N18" s="1">
        <f>F18+(P18*K18*D18)</f>
        <v>-0.1</v>
      </c>
      <c r="O18">
        <v>1</v>
      </c>
      <c r="P18" s="1">
        <v>0.1</v>
      </c>
      <c r="Q18" s="2">
        <v>0.5</v>
      </c>
    </row>
    <row r="19" spans="1:17" x14ac:dyDescent="0.3">
      <c r="A19" s="25"/>
      <c r="B19">
        <v>0</v>
      </c>
      <c r="C19">
        <v>0</v>
      </c>
      <c r="D19">
        <v>1</v>
      </c>
      <c r="E19">
        <v>1</v>
      </c>
      <c r="F19">
        <f t="shared" si="13"/>
        <v>-0.1</v>
      </c>
      <c r="G19">
        <f t="shared" si="14"/>
        <v>-0.1</v>
      </c>
      <c r="H19">
        <f t="shared" si="15"/>
        <v>-0.1</v>
      </c>
      <c r="I19">
        <f t="shared" ref="I19:I25" si="16">B19*F19+C19*G19+D19*H19+O19</f>
        <v>0.9</v>
      </c>
      <c r="J19">
        <f t="shared" ref="J19:J25" si="17">IF(I19&gt;Q19,1,0)</f>
        <v>1</v>
      </c>
      <c r="K19">
        <f t="shared" ref="K19:K25" si="18">E19-J19</f>
        <v>0</v>
      </c>
      <c r="L19">
        <f t="shared" ref="L19:L25" si="19">F19+(P19*K19*B19)</f>
        <v>-0.1</v>
      </c>
      <c r="M19">
        <f t="shared" ref="M19:M25" si="20">F19+(P19*K19*C19)</f>
        <v>-0.1</v>
      </c>
      <c r="N19">
        <f t="shared" ref="N19:N25" si="21">F19+(P19*K19*D19)</f>
        <v>-0.1</v>
      </c>
      <c r="O19">
        <v>1</v>
      </c>
      <c r="P19">
        <v>0.1</v>
      </c>
      <c r="Q19" s="3">
        <v>0.5</v>
      </c>
    </row>
    <row r="20" spans="1:17" x14ac:dyDescent="0.3">
      <c r="A20" s="25"/>
      <c r="B20">
        <v>0</v>
      </c>
      <c r="C20">
        <v>1</v>
      </c>
      <c r="D20">
        <v>0</v>
      </c>
      <c r="E20">
        <v>1</v>
      </c>
      <c r="F20">
        <f t="shared" si="13"/>
        <v>-0.1</v>
      </c>
      <c r="G20">
        <f t="shared" si="14"/>
        <v>-0.1</v>
      </c>
      <c r="H20">
        <f t="shared" si="15"/>
        <v>-0.1</v>
      </c>
      <c r="I20">
        <f t="shared" si="16"/>
        <v>0.9</v>
      </c>
      <c r="J20">
        <f t="shared" si="17"/>
        <v>1</v>
      </c>
      <c r="K20">
        <f t="shared" si="18"/>
        <v>0</v>
      </c>
      <c r="L20">
        <f t="shared" si="19"/>
        <v>-0.1</v>
      </c>
      <c r="M20">
        <f t="shared" si="20"/>
        <v>-0.1</v>
      </c>
      <c r="N20">
        <f t="shared" si="21"/>
        <v>-0.1</v>
      </c>
      <c r="O20">
        <v>1</v>
      </c>
      <c r="P20">
        <v>0.1</v>
      </c>
      <c r="Q20" s="3">
        <v>0.5</v>
      </c>
    </row>
    <row r="21" spans="1:17" x14ac:dyDescent="0.3">
      <c r="A21" s="25"/>
      <c r="B21">
        <v>0</v>
      </c>
      <c r="C21">
        <v>1</v>
      </c>
      <c r="D21">
        <v>1</v>
      </c>
      <c r="E21">
        <v>1</v>
      </c>
      <c r="F21">
        <f t="shared" si="13"/>
        <v>-0.1</v>
      </c>
      <c r="G21">
        <f t="shared" si="14"/>
        <v>-0.1</v>
      </c>
      <c r="H21">
        <f t="shared" si="15"/>
        <v>-0.1</v>
      </c>
      <c r="I21">
        <f t="shared" si="16"/>
        <v>0.8</v>
      </c>
      <c r="J21">
        <f t="shared" si="17"/>
        <v>1</v>
      </c>
      <c r="K21">
        <f t="shared" si="18"/>
        <v>0</v>
      </c>
      <c r="L21">
        <f t="shared" si="19"/>
        <v>-0.1</v>
      </c>
      <c r="M21">
        <f t="shared" si="20"/>
        <v>-0.1</v>
      </c>
      <c r="N21">
        <f t="shared" si="21"/>
        <v>-0.1</v>
      </c>
      <c r="O21">
        <v>1</v>
      </c>
      <c r="P21">
        <v>0.1</v>
      </c>
      <c r="Q21" s="3">
        <v>0.5</v>
      </c>
    </row>
    <row r="22" spans="1:17" x14ac:dyDescent="0.3">
      <c r="A22" s="25"/>
      <c r="B22">
        <v>1</v>
      </c>
      <c r="C22">
        <v>0</v>
      </c>
      <c r="D22">
        <v>0</v>
      </c>
      <c r="E22">
        <v>1</v>
      </c>
      <c r="F22">
        <f t="shared" si="13"/>
        <v>-0.1</v>
      </c>
      <c r="G22">
        <f t="shared" si="14"/>
        <v>-0.1</v>
      </c>
      <c r="H22">
        <f t="shared" si="15"/>
        <v>-0.1</v>
      </c>
      <c r="I22">
        <f t="shared" si="16"/>
        <v>0.9</v>
      </c>
      <c r="J22">
        <f t="shared" si="17"/>
        <v>1</v>
      </c>
      <c r="K22">
        <f t="shared" si="18"/>
        <v>0</v>
      </c>
      <c r="L22">
        <f t="shared" si="19"/>
        <v>-0.1</v>
      </c>
      <c r="M22">
        <f t="shared" si="20"/>
        <v>-0.1</v>
      </c>
      <c r="N22">
        <f t="shared" si="21"/>
        <v>-0.1</v>
      </c>
      <c r="O22">
        <v>1</v>
      </c>
      <c r="P22">
        <v>0.1</v>
      </c>
      <c r="Q22" s="3">
        <v>0.5</v>
      </c>
    </row>
    <row r="23" spans="1:17" x14ac:dyDescent="0.3">
      <c r="A23" s="25"/>
      <c r="B23">
        <v>1</v>
      </c>
      <c r="C23">
        <v>0</v>
      </c>
      <c r="D23">
        <v>1</v>
      </c>
      <c r="E23">
        <v>1</v>
      </c>
      <c r="F23">
        <f t="shared" si="13"/>
        <v>-0.1</v>
      </c>
      <c r="G23">
        <f t="shared" si="14"/>
        <v>-0.1</v>
      </c>
      <c r="H23">
        <f t="shared" si="15"/>
        <v>-0.1</v>
      </c>
      <c r="I23">
        <f t="shared" si="16"/>
        <v>0.8</v>
      </c>
      <c r="J23">
        <f t="shared" si="17"/>
        <v>1</v>
      </c>
      <c r="K23">
        <f t="shared" si="18"/>
        <v>0</v>
      </c>
      <c r="L23">
        <f t="shared" si="19"/>
        <v>-0.1</v>
      </c>
      <c r="M23">
        <f t="shared" si="20"/>
        <v>-0.1</v>
      </c>
      <c r="N23">
        <f t="shared" si="21"/>
        <v>-0.1</v>
      </c>
      <c r="O23">
        <v>1</v>
      </c>
      <c r="P23">
        <v>0.1</v>
      </c>
      <c r="Q23" s="3">
        <v>0.5</v>
      </c>
    </row>
    <row r="24" spans="1:17" x14ac:dyDescent="0.3">
      <c r="A24" s="25"/>
      <c r="B24">
        <v>1</v>
      </c>
      <c r="C24">
        <v>1</v>
      </c>
      <c r="D24">
        <v>0</v>
      </c>
      <c r="E24">
        <v>1</v>
      </c>
      <c r="F24">
        <f t="shared" si="13"/>
        <v>-0.1</v>
      </c>
      <c r="G24">
        <f t="shared" si="14"/>
        <v>-0.1</v>
      </c>
      <c r="H24">
        <f t="shared" si="15"/>
        <v>-0.1</v>
      </c>
      <c r="I24">
        <f t="shared" si="16"/>
        <v>0.8</v>
      </c>
      <c r="J24">
        <f t="shared" si="17"/>
        <v>1</v>
      </c>
      <c r="K24">
        <f t="shared" si="18"/>
        <v>0</v>
      </c>
      <c r="L24">
        <f t="shared" si="19"/>
        <v>-0.1</v>
      </c>
      <c r="M24">
        <f t="shared" si="20"/>
        <v>-0.1</v>
      </c>
      <c r="N24">
        <f t="shared" si="21"/>
        <v>-0.1</v>
      </c>
      <c r="O24">
        <v>1</v>
      </c>
      <c r="P24">
        <v>0.1</v>
      </c>
      <c r="Q24" s="3">
        <v>0.5</v>
      </c>
    </row>
    <row r="25" spans="1:17" x14ac:dyDescent="0.3">
      <c r="A25" s="26"/>
      <c r="B25" s="4">
        <v>1</v>
      </c>
      <c r="C25" s="4">
        <v>1</v>
      </c>
      <c r="D25" s="4">
        <v>1</v>
      </c>
      <c r="E25" s="4">
        <v>0</v>
      </c>
      <c r="F25" s="4">
        <f t="shared" si="13"/>
        <v>-0.1</v>
      </c>
      <c r="G25" s="4">
        <f t="shared" si="14"/>
        <v>-0.1</v>
      </c>
      <c r="H25" s="4">
        <f t="shared" si="15"/>
        <v>-0.1</v>
      </c>
      <c r="I25" s="4">
        <f t="shared" si="16"/>
        <v>0.7</v>
      </c>
      <c r="J25" s="4">
        <f t="shared" si="17"/>
        <v>1</v>
      </c>
      <c r="K25" s="4">
        <f t="shared" si="18"/>
        <v>-1</v>
      </c>
      <c r="L25" s="4">
        <f t="shared" si="19"/>
        <v>-0.2</v>
      </c>
      <c r="M25" s="4">
        <f t="shared" si="20"/>
        <v>-0.2</v>
      </c>
      <c r="N25" s="4">
        <f t="shared" si="21"/>
        <v>-0.2</v>
      </c>
      <c r="O25" s="4">
        <v>1</v>
      </c>
      <c r="P25" s="4">
        <v>0.1</v>
      </c>
      <c r="Q25" s="5">
        <v>0.5</v>
      </c>
    </row>
    <row r="26" spans="1:17" x14ac:dyDescent="0.3">
      <c r="A26" s="24">
        <v>4</v>
      </c>
      <c r="B26" s="1">
        <v>0</v>
      </c>
      <c r="C26" s="1">
        <v>0</v>
      </c>
      <c r="D26" s="1">
        <v>0</v>
      </c>
      <c r="E26" s="1">
        <v>1</v>
      </c>
      <c r="F26" s="1">
        <f t="shared" si="13"/>
        <v>-0.2</v>
      </c>
      <c r="G26" s="1">
        <f t="shared" si="14"/>
        <v>-0.2</v>
      </c>
      <c r="H26" s="1">
        <f t="shared" si="15"/>
        <v>-0.2</v>
      </c>
      <c r="I26" s="1">
        <f>B26*F26+C26*G26+D26*H26+O26</f>
        <v>1</v>
      </c>
      <c r="J26" s="1">
        <f>IF(I26&gt;Q26,1,0)</f>
        <v>1</v>
      </c>
      <c r="K26" s="1">
        <f>E26-J26</f>
        <v>0</v>
      </c>
      <c r="L26" s="1">
        <f>F26+(P26*K26*B26)</f>
        <v>-0.2</v>
      </c>
      <c r="M26" s="1">
        <f>F26+(P26*K26*C26)</f>
        <v>-0.2</v>
      </c>
      <c r="N26" s="1">
        <f>F26+(P26*K26*D26)</f>
        <v>-0.2</v>
      </c>
      <c r="O26">
        <v>1</v>
      </c>
      <c r="P26" s="1">
        <v>0.1</v>
      </c>
      <c r="Q26" s="2">
        <v>0.5</v>
      </c>
    </row>
    <row r="27" spans="1:17" x14ac:dyDescent="0.3">
      <c r="A27" s="25"/>
      <c r="B27">
        <v>0</v>
      </c>
      <c r="C27">
        <v>0</v>
      </c>
      <c r="D27">
        <v>1</v>
      </c>
      <c r="E27">
        <v>1</v>
      </c>
      <c r="F27">
        <f t="shared" si="13"/>
        <v>-0.2</v>
      </c>
      <c r="G27">
        <f t="shared" si="14"/>
        <v>-0.2</v>
      </c>
      <c r="H27">
        <f t="shared" si="15"/>
        <v>-0.2</v>
      </c>
      <c r="I27">
        <f t="shared" ref="I27:I33" si="22">B27*F27+C27*G27+D27*H27+O27</f>
        <v>0.8</v>
      </c>
      <c r="J27">
        <f t="shared" ref="J27:J33" si="23">IF(I27&gt;Q27,1,0)</f>
        <v>1</v>
      </c>
      <c r="K27">
        <f t="shared" ref="K27:K33" si="24">E27-J27</f>
        <v>0</v>
      </c>
      <c r="L27">
        <f t="shared" ref="L27:L33" si="25">F27+(P27*K27*B27)</f>
        <v>-0.2</v>
      </c>
      <c r="M27">
        <f t="shared" ref="M27:M33" si="26">F27+(P27*K27*C27)</f>
        <v>-0.2</v>
      </c>
      <c r="N27">
        <f t="shared" ref="N27:N33" si="27">F27+(P27*K27*D27)</f>
        <v>-0.2</v>
      </c>
      <c r="O27">
        <v>1</v>
      </c>
      <c r="P27">
        <v>0.1</v>
      </c>
      <c r="Q27" s="3">
        <v>0.5</v>
      </c>
    </row>
    <row r="28" spans="1:17" x14ac:dyDescent="0.3">
      <c r="A28" s="25"/>
      <c r="B28">
        <v>0</v>
      </c>
      <c r="C28">
        <v>1</v>
      </c>
      <c r="D28">
        <v>0</v>
      </c>
      <c r="E28">
        <v>1</v>
      </c>
      <c r="F28">
        <f t="shared" si="13"/>
        <v>-0.2</v>
      </c>
      <c r="G28">
        <f t="shared" si="14"/>
        <v>-0.2</v>
      </c>
      <c r="H28">
        <f t="shared" si="15"/>
        <v>-0.2</v>
      </c>
      <c r="I28">
        <f t="shared" si="22"/>
        <v>0.8</v>
      </c>
      <c r="J28">
        <f t="shared" si="23"/>
        <v>1</v>
      </c>
      <c r="K28">
        <f t="shared" si="24"/>
        <v>0</v>
      </c>
      <c r="L28">
        <f t="shared" si="25"/>
        <v>-0.2</v>
      </c>
      <c r="M28">
        <f t="shared" si="26"/>
        <v>-0.2</v>
      </c>
      <c r="N28">
        <f t="shared" si="27"/>
        <v>-0.2</v>
      </c>
      <c r="O28">
        <v>1</v>
      </c>
      <c r="P28">
        <v>0.1</v>
      </c>
      <c r="Q28" s="3">
        <v>0.5</v>
      </c>
    </row>
    <row r="29" spans="1:17" x14ac:dyDescent="0.3">
      <c r="A29" s="25"/>
      <c r="B29">
        <v>0</v>
      </c>
      <c r="C29">
        <v>1</v>
      </c>
      <c r="D29">
        <v>1</v>
      </c>
      <c r="E29">
        <v>1</v>
      </c>
      <c r="F29">
        <f t="shared" si="13"/>
        <v>-0.2</v>
      </c>
      <c r="G29">
        <f t="shared" si="14"/>
        <v>-0.2</v>
      </c>
      <c r="H29">
        <f t="shared" si="15"/>
        <v>-0.2</v>
      </c>
      <c r="I29">
        <f t="shared" si="22"/>
        <v>0.6</v>
      </c>
      <c r="J29">
        <f t="shared" si="23"/>
        <v>1</v>
      </c>
      <c r="K29">
        <f t="shared" si="24"/>
        <v>0</v>
      </c>
      <c r="L29">
        <f t="shared" si="25"/>
        <v>-0.2</v>
      </c>
      <c r="M29">
        <f t="shared" si="26"/>
        <v>-0.2</v>
      </c>
      <c r="N29">
        <f t="shared" si="27"/>
        <v>-0.2</v>
      </c>
      <c r="O29">
        <v>1</v>
      </c>
      <c r="P29">
        <v>0.1</v>
      </c>
      <c r="Q29" s="3">
        <v>0.5</v>
      </c>
    </row>
    <row r="30" spans="1:17" x14ac:dyDescent="0.3">
      <c r="A30" s="25"/>
      <c r="B30">
        <v>1</v>
      </c>
      <c r="C30">
        <v>0</v>
      </c>
      <c r="D30">
        <v>0</v>
      </c>
      <c r="E30">
        <v>1</v>
      </c>
      <c r="F30">
        <f t="shared" si="13"/>
        <v>-0.2</v>
      </c>
      <c r="G30">
        <f t="shared" si="14"/>
        <v>-0.2</v>
      </c>
      <c r="H30">
        <f t="shared" si="15"/>
        <v>-0.2</v>
      </c>
      <c r="I30">
        <f t="shared" si="22"/>
        <v>0.8</v>
      </c>
      <c r="J30">
        <f t="shared" si="23"/>
        <v>1</v>
      </c>
      <c r="K30">
        <f t="shared" si="24"/>
        <v>0</v>
      </c>
      <c r="L30">
        <f t="shared" si="25"/>
        <v>-0.2</v>
      </c>
      <c r="M30">
        <f t="shared" si="26"/>
        <v>-0.2</v>
      </c>
      <c r="N30">
        <f t="shared" si="27"/>
        <v>-0.2</v>
      </c>
      <c r="O30">
        <v>1</v>
      </c>
      <c r="P30">
        <v>0.1</v>
      </c>
      <c r="Q30" s="3">
        <v>0.5</v>
      </c>
    </row>
    <row r="31" spans="1:17" x14ac:dyDescent="0.3">
      <c r="A31" s="25"/>
      <c r="B31">
        <v>1</v>
      </c>
      <c r="C31">
        <v>0</v>
      </c>
      <c r="D31">
        <v>1</v>
      </c>
      <c r="E31">
        <v>1</v>
      </c>
      <c r="F31">
        <f t="shared" si="13"/>
        <v>-0.2</v>
      </c>
      <c r="G31">
        <f t="shared" si="14"/>
        <v>-0.2</v>
      </c>
      <c r="H31">
        <f t="shared" si="15"/>
        <v>-0.2</v>
      </c>
      <c r="I31">
        <f t="shared" si="22"/>
        <v>0.6</v>
      </c>
      <c r="J31">
        <f t="shared" si="23"/>
        <v>1</v>
      </c>
      <c r="K31">
        <f t="shared" si="24"/>
        <v>0</v>
      </c>
      <c r="L31">
        <f t="shared" si="25"/>
        <v>-0.2</v>
      </c>
      <c r="M31">
        <f t="shared" si="26"/>
        <v>-0.2</v>
      </c>
      <c r="N31">
        <f t="shared" si="27"/>
        <v>-0.2</v>
      </c>
      <c r="O31">
        <v>1</v>
      </c>
      <c r="P31">
        <v>0.1</v>
      </c>
      <c r="Q31" s="3">
        <v>0.5</v>
      </c>
    </row>
    <row r="32" spans="1:17" x14ac:dyDescent="0.3">
      <c r="A32" s="25"/>
      <c r="B32">
        <v>1</v>
      </c>
      <c r="C32">
        <v>1</v>
      </c>
      <c r="D32">
        <v>0</v>
      </c>
      <c r="E32">
        <v>1</v>
      </c>
      <c r="F32">
        <f t="shared" si="13"/>
        <v>-0.2</v>
      </c>
      <c r="G32">
        <f t="shared" si="14"/>
        <v>-0.2</v>
      </c>
      <c r="H32">
        <f t="shared" si="15"/>
        <v>-0.2</v>
      </c>
      <c r="I32">
        <f t="shared" si="22"/>
        <v>0.6</v>
      </c>
      <c r="J32">
        <f t="shared" si="23"/>
        <v>1</v>
      </c>
      <c r="K32">
        <f t="shared" si="24"/>
        <v>0</v>
      </c>
      <c r="L32">
        <f t="shared" si="25"/>
        <v>-0.2</v>
      </c>
      <c r="M32">
        <f t="shared" si="26"/>
        <v>-0.2</v>
      </c>
      <c r="N32">
        <f t="shared" si="27"/>
        <v>-0.2</v>
      </c>
      <c r="O32">
        <v>1</v>
      </c>
      <c r="P32">
        <v>0.1</v>
      </c>
      <c r="Q32" s="3">
        <v>0.5</v>
      </c>
    </row>
    <row r="33" spans="1:17" x14ac:dyDescent="0.3">
      <c r="A33" s="26"/>
      <c r="B33" s="4">
        <v>1</v>
      </c>
      <c r="C33" s="4">
        <v>1</v>
      </c>
      <c r="D33" s="4">
        <v>1</v>
      </c>
      <c r="E33" s="4">
        <v>0</v>
      </c>
      <c r="F33" s="4">
        <f t="shared" si="13"/>
        <v>-0.2</v>
      </c>
      <c r="G33" s="4">
        <f t="shared" si="14"/>
        <v>-0.2</v>
      </c>
      <c r="H33" s="4">
        <f t="shared" si="15"/>
        <v>-0.2</v>
      </c>
      <c r="I33" s="4">
        <f t="shared" si="22"/>
        <v>0.39999999999999991</v>
      </c>
      <c r="J33" s="4">
        <f t="shared" si="23"/>
        <v>0</v>
      </c>
      <c r="K33" s="4">
        <f t="shared" si="24"/>
        <v>0</v>
      </c>
      <c r="L33" s="4">
        <f t="shared" si="25"/>
        <v>-0.2</v>
      </c>
      <c r="M33" s="4">
        <f t="shared" si="26"/>
        <v>-0.2</v>
      </c>
      <c r="N33" s="4">
        <f t="shared" si="27"/>
        <v>-0.2</v>
      </c>
      <c r="O33" s="4">
        <v>1</v>
      </c>
      <c r="P33" s="4">
        <v>0.1</v>
      </c>
      <c r="Q33" s="5">
        <v>0.5</v>
      </c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0497-21A7-4842-9204-FAE66F5DF1E2}">
  <dimension ref="A1:N21"/>
  <sheetViews>
    <sheetView tabSelected="1" workbookViewId="0">
      <selection activeCell="Q22" sqref="Q22"/>
    </sheetView>
  </sheetViews>
  <sheetFormatPr defaultRowHeight="14.4" x14ac:dyDescent="0.3"/>
  <cols>
    <col min="8" max="8" width="20.109375" bestFit="1" customWidth="1"/>
    <col min="9" max="9" width="9.33203125" customWidth="1"/>
    <col min="14" max="14" width="9.88671875" bestFit="1" customWidth="1"/>
  </cols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1</v>
      </c>
      <c r="E2" s="1">
        <v>0.1</v>
      </c>
      <c r="F2" s="1">
        <v>0.1</v>
      </c>
      <c r="G2" s="1">
        <f>B2*E2+C2*F2+L2</f>
        <v>1</v>
      </c>
      <c r="H2" s="1">
        <f>IF(G2&gt;N2, 1, 0)</f>
        <v>1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1</v>
      </c>
      <c r="M2" s="1">
        <v>0.1</v>
      </c>
      <c r="N2" s="2">
        <v>0.5</v>
      </c>
    </row>
    <row r="3" spans="1:14" x14ac:dyDescent="0.3">
      <c r="A3" s="19"/>
      <c r="B3">
        <v>0</v>
      </c>
      <c r="C3">
        <v>1</v>
      </c>
      <c r="D3">
        <v>0</v>
      </c>
      <c r="E3">
        <f>J2</f>
        <v>0.1</v>
      </c>
      <c r="F3">
        <f>K2</f>
        <v>0.1</v>
      </c>
      <c r="G3">
        <f>B3*E3+C3*F3+L3</f>
        <v>1.1000000000000001</v>
      </c>
      <c r="H3">
        <f>IF(G3&gt;N3, 1, 0)</f>
        <v>1</v>
      </c>
      <c r="I3">
        <f>D3-H3</f>
        <v>-1</v>
      </c>
      <c r="J3">
        <f>E3+M3*I3*B3</f>
        <v>0.1</v>
      </c>
      <c r="K3">
        <f>F3+M3*I3*C3</f>
        <v>0</v>
      </c>
      <c r="L3">
        <v>1</v>
      </c>
      <c r="M3">
        <v>0.1</v>
      </c>
      <c r="N3" s="3">
        <v>0.5</v>
      </c>
    </row>
    <row r="4" spans="1:14" x14ac:dyDescent="0.3">
      <c r="A4" s="19"/>
      <c r="B4">
        <v>1</v>
      </c>
      <c r="C4">
        <v>0</v>
      </c>
      <c r="D4">
        <v>0</v>
      </c>
      <c r="E4">
        <f t="shared" ref="E4:F5" si="0">J3</f>
        <v>0.1</v>
      </c>
      <c r="F4">
        <f t="shared" si="0"/>
        <v>0</v>
      </c>
      <c r="G4">
        <f t="shared" ref="G4:G5" si="1">B4*E4+C4*F4+L4</f>
        <v>1.1000000000000001</v>
      </c>
      <c r="H4">
        <f t="shared" ref="H4:H5" si="2">IF(G4&gt;N4, 1, 0)</f>
        <v>1</v>
      </c>
      <c r="I4">
        <f t="shared" ref="I4:I5" si="3">D4-H4</f>
        <v>-1</v>
      </c>
      <c r="J4">
        <f t="shared" ref="J4:J5" si="4">E4+M4*I4*B4</f>
        <v>0</v>
      </c>
      <c r="K4">
        <f t="shared" ref="K4:K5" si="5">F4+M4*I4*C4</f>
        <v>0</v>
      </c>
      <c r="L4">
        <v>1</v>
      </c>
      <c r="M4">
        <v>0.1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0</v>
      </c>
      <c r="E5" s="4">
        <f t="shared" si="0"/>
        <v>0</v>
      </c>
      <c r="F5" s="4">
        <f t="shared" si="0"/>
        <v>0</v>
      </c>
      <c r="G5" s="4">
        <f t="shared" si="1"/>
        <v>1</v>
      </c>
      <c r="H5" s="4">
        <f t="shared" si="2"/>
        <v>1</v>
      </c>
      <c r="I5" s="4">
        <f t="shared" si="3"/>
        <v>-1</v>
      </c>
      <c r="J5" s="4">
        <f t="shared" si="4"/>
        <v>-0.1</v>
      </c>
      <c r="K5" s="4">
        <f t="shared" si="5"/>
        <v>-0.1</v>
      </c>
      <c r="L5" s="4">
        <v>1</v>
      </c>
      <c r="M5" s="4">
        <v>0.1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1</v>
      </c>
      <c r="E6" s="1">
        <f t="shared" ref="E6:E17" si="6">J5</f>
        <v>-0.1</v>
      </c>
      <c r="F6" s="1">
        <f t="shared" ref="F6:F17" si="7">K5</f>
        <v>-0.1</v>
      </c>
      <c r="G6" s="1">
        <f t="shared" ref="G6:G17" si="8">B6*E6+C6*F6+L6</f>
        <v>1</v>
      </c>
      <c r="H6" s="1">
        <f t="shared" ref="H6:H17" si="9">IF(G6&gt;N6, 1, 0)</f>
        <v>1</v>
      </c>
      <c r="I6" s="1">
        <f t="shared" ref="I6:I17" si="10">D6-H6</f>
        <v>0</v>
      </c>
      <c r="J6" s="1">
        <f t="shared" ref="J6:J17" si="11">E6+M6*I6*B6</f>
        <v>-0.1</v>
      </c>
      <c r="K6" s="1">
        <f t="shared" ref="K6:K17" si="12">F6+M6*I6*C6</f>
        <v>-0.1</v>
      </c>
      <c r="L6" s="1">
        <v>1</v>
      </c>
      <c r="M6" s="1">
        <v>0.1</v>
      </c>
      <c r="N6" s="2">
        <v>0.5</v>
      </c>
    </row>
    <row r="7" spans="1:14" x14ac:dyDescent="0.3">
      <c r="A7" s="19"/>
      <c r="B7">
        <v>0</v>
      </c>
      <c r="C7">
        <v>1</v>
      </c>
      <c r="D7">
        <v>0</v>
      </c>
      <c r="E7">
        <f t="shared" si="6"/>
        <v>-0.1</v>
      </c>
      <c r="F7">
        <f t="shared" si="7"/>
        <v>-0.1</v>
      </c>
      <c r="G7">
        <f t="shared" si="8"/>
        <v>0.9</v>
      </c>
      <c r="H7">
        <f t="shared" si="9"/>
        <v>1</v>
      </c>
      <c r="I7">
        <f t="shared" si="10"/>
        <v>-1</v>
      </c>
      <c r="J7">
        <f t="shared" si="11"/>
        <v>-0.1</v>
      </c>
      <c r="K7">
        <f t="shared" si="12"/>
        <v>-0.2</v>
      </c>
      <c r="L7">
        <v>1</v>
      </c>
      <c r="M7">
        <v>0.1</v>
      </c>
      <c r="N7" s="3">
        <v>0.5</v>
      </c>
    </row>
    <row r="8" spans="1:14" x14ac:dyDescent="0.3">
      <c r="A8" s="19"/>
      <c r="B8">
        <v>1</v>
      </c>
      <c r="C8">
        <v>0</v>
      </c>
      <c r="D8">
        <v>0</v>
      </c>
      <c r="E8">
        <f t="shared" si="6"/>
        <v>-0.1</v>
      </c>
      <c r="F8">
        <f t="shared" si="7"/>
        <v>-0.2</v>
      </c>
      <c r="G8">
        <f t="shared" si="8"/>
        <v>0.9</v>
      </c>
      <c r="H8">
        <f t="shared" si="9"/>
        <v>1</v>
      </c>
      <c r="I8">
        <f t="shared" si="10"/>
        <v>-1</v>
      </c>
      <c r="J8">
        <f t="shared" si="11"/>
        <v>-0.2</v>
      </c>
      <c r="K8">
        <f t="shared" si="12"/>
        <v>-0.2</v>
      </c>
      <c r="L8">
        <v>1</v>
      </c>
      <c r="M8">
        <v>0.1</v>
      </c>
      <c r="N8" s="3">
        <v>0.5</v>
      </c>
    </row>
    <row r="9" spans="1:14" x14ac:dyDescent="0.3">
      <c r="A9" s="20"/>
      <c r="B9" s="4">
        <v>1</v>
      </c>
      <c r="C9" s="4">
        <v>1</v>
      </c>
      <c r="D9" s="4">
        <v>0</v>
      </c>
      <c r="E9" s="4">
        <f t="shared" si="6"/>
        <v>-0.2</v>
      </c>
      <c r="F9" s="4">
        <f t="shared" si="7"/>
        <v>-0.2</v>
      </c>
      <c r="G9" s="4">
        <f t="shared" si="8"/>
        <v>0.6</v>
      </c>
      <c r="H9" s="4">
        <f t="shared" si="9"/>
        <v>1</v>
      </c>
      <c r="I9" s="4">
        <f t="shared" si="10"/>
        <v>-1</v>
      </c>
      <c r="J9" s="4">
        <f t="shared" si="11"/>
        <v>-0.30000000000000004</v>
      </c>
      <c r="K9" s="4">
        <f t="shared" si="12"/>
        <v>-0.30000000000000004</v>
      </c>
      <c r="L9" s="4">
        <v>1</v>
      </c>
      <c r="M9" s="4">
        <v>0.1</v>
      </c>
      <c r="N9" s="5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1</v>
      </c>
      <c r="E10" s="1">
        <f t="shared" si="6"/>
        <v>-0.30000000000000004</v>
      </c>
      <c r="F10" s="1">
        <f t="shared" si="7"/>
        <v>-0.30000000000000004</v>
      </c>
      <c r="G10" s="1">
        <f t="shared" si="8"/>
        <v>1</v>
      </c>
      <c r="H10" s="1">
        <f t="shared" si="9"/>
        <v>1</v>
      </c>
      <c r="I10" s="1">
        <f t="shared" si="10"/>
        <v>0</v>
      </c>
      <c r="J10" s="1">
        <f t="shared" si="11"/>
        <v>-0.30000000000000004</v>
      </c>
      <c r="K10" s="1">
        <f t="shared" si="12"/>
        <v>-0.30000000000000004</v>
      </c>
      <c r="L10" s="1">
        <v>1</v>
      </c>
      <c r="M10" s="1">
        <v>0.1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0</v>
      </c>
      <c r="E11">
        <f t="shared" si="6"/>
        <v>-0.30000000000000004</v>
      </c>
      <c r="F11">
        <f t="shared" si="7"/>
        <v>-0.30000000000000004</v>
      </c>
      <c r="G11">
        <f t="shared" si="8"/>
        <v>0.7</v>
      </c>
      <c r="H11">
        <f t="shared" si="9"/>
        <v>1</v>
      </c>
      <c r="I11">
        <f t="shared" si="10"/>
        <v>-1</v>
      </c>
      <c r="J11">
        <f t="shared" si="11"/>
        <v>-0.30000000000000004</v>
      </c>
      <c r="K11">
        <f t="shared" si="12"/>
        <v>-0.4</v>
      </c>
      <c r="L11">
        <v>1</v>
      </c>
      <c r="M11">
        <v>0.1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0</v>
      </c>
      <c r="E12">
        <f t="shared" si="6"/>
        <v>-0.30000000000000004</v>
      </c>
      <c r="F12">
        <f t="shared" si="7"/>
        <v>-0.4</v>
      </c>
      <c r="G12">
        <f t="shared" si="8"/>
        <v>0.7</v>
      </c>
      <c r="H12">
        <f t="shared" si="9"/>
        <v>1</v>
      </c>
      <c r="I12">
        <f t="shared" si="10"/>
        <v>-1</v>
      </c>
      <c r="J12">
        <f t="shared" si="11"/>
        <v>-0.4</v>
      </c>
      <c r="K12">
        <f t="shared" si="12"/>
        <v>-0.4</v>
      </c>
      <c r="L12">
        <v>1</v>
      </c>
      <c r="M12">
        <v>0.1</v>
      </c>
      <c r="N12" s="3">
        <v>0.5</v>
      </c>
    </row>
    <row r="13" spans="1:14" x14ac:dyDescent="0.3">
      <c r="A13" s="20"/>
      <c r="B13" s="4">
        <v>1</v>
      </c>
      <c r="C13" s="4">
        <v>1</v>
      </c>
      <c r="D13" s="4">
        <v>0</v>
      </c>
      <c r="E13" s="4">
        <f t="shared" si="6"/>
        <v>-0.4</v>
      </c>
      <c r="F13" s="4">
        <f t="shared" si="7"/>
        <v>-0.4</v>
      </c>
      <c r="G13" s="4">
        <f t="shared" si="8"/>
        <v>0.19999999999999996</v>
      </c>
      <c r="H13" s="4">
        <f t="shared" si="9"/>
        <v>0</v>
      </c>
      <c r="I13" s="4">
        <f t="shared" si="10"/>
        <v>0</v>
      </c>
      <c r="J13" s="4">
        <f t="shared" si="11"/>
        <v>-0.4</v>
      </c>
      <c r="K13" s="4">
        <f t="shared" si="12"/>
        <v>-0.4</v>
      </c>
      <c r="L13" s="4">
        <v>1</v>
      </c>
      <c r="M13" s="4">
        <v>0.1</v>
      </c>
      <c r="N13" s="5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1</v>
      </c>
      <c r="E14" s="1">
        <f t="shared" si="6"/>
        <v>-0.4</v>
      </c>
      <c r="F14" s="1">
        <f t="shared" si="7"/>
        <v>-0.4</v>
      </c>
      <c r="G14" s="1">
        <f t="shared" si="8"/>
        <v>1</v>
      </c>
      <c r="H14" s="1">
        <f t="shared" si="9"/>
        <v>1</v>
      </c>
      <c r="I14" s="1">
        <f t="shared" si="10"/>
        <v>0</v>
      </c>
      <c r="J14" s="1">
        <f t="shared" si="11"/>
        <v>-0.4</v>
      </c>
      <c r="K14" s="1">
        <f t="shared" si="12"/>
        <v>-0.4</v>
      </c>
      <c r="L14" s="1">
        <v>1</v>
      </c>
      <c r="M14" s="1">
        <v>0.1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0</v>
      </c>
      <c r="E15">
        <f t="shared" si="6"/>
        <v>-0.4</v>
      </c>
      <c r="F15">
        <f t="shared" si="7"/>
        <v>-0.4</v>
      </c>
      <c r="G15">
        <f t="shared" si="8"/>
        <v>0.6</v>
      </c>
      <c r="H15">
        <f t="shared" si="9"/>
        <v>1</v>
      </c>
      <c r="I15">
        <f t="shared" si="10"/>
        <v>-1</v>
      </c>
      <c r="J15">
        <f t="shared" si="11"/>
        <v>-0.4</v>
      </c>
      <c r="K15">
        <f t="shared" si="12"/>
        <v>-0.5</v>
      </c>
      <c r="L15">
        <v>1</v>
      </c>
      <c r="M15">
        <v>0.1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0</v>
      </c>
      <c r="E16">
        <f t="shared" si="6"/>
        <v>-0.4</v>
      </c>
      <c r="F16">
        <f t="shared" si="7"/>
        <v>-0.5</v>
      </c>
      <c r="G16">
        <f t="shared" si="8"/>
        <v>0.6</v>
      </c>
      <c r="H16">
        <f t="shared" si="9"/>
        <v>1</v>
      </c>
      <c r="I16">
        <f t="shared" si="10"/>
        <v>-1</v>
      </c>
      <c r="J16">
        <f t="shared" si="11"/>
        <v>-0.5</v>
      </c>
      <c r="K16">
        <f t="shared" si="12"/>
        <v>-0.5</v>
      </c>
      <c r="L16">
        <v>1</v>
      </c>
      <c r="M16">
        <v>0.1</v>
      </c>
      <c r="N16" s="3">
        <v>0.5</v>
      </c>
    </row>
    <row r="17" spans="1:14" x14ac:dyDescent="0.3">
      <c r="A17" s="19"/>
      <c r="B17">
        <v>1</v>
      </c>
      <c r="C17">
        <v>1</v>
      </c>
      <c r="D17">
        <v>0</v>
      </c>
      <c r="E17">
        <f t="shared" si="6"/>
        <v>-0.5</v>
      </c>
      <c r="F17">
        <f t="shared" si="7"/>
        <v>-0.5</v>
      </c>
      <c r="G17">
        <f t="shared" si="8"/>
        <v>0</v>
      </c>
      <c r="H17">
        <f t="shared" si="9"/>
        <v>0</v>
      </c>
      <c r="I17">
        <f t="shared" si="10"/>
        <v>0</v>
      </c>
      <c r="J17">
        <f t="shared" si="11"/>
        <v>-0.5</v>
      </c>
      <c r="K17">
        <f t="shared" si="12"/>
        <v>-0.5</v>
      </c>
      <c r="L17">
        <v>1</v>
      </c>
      <c r="M17">
        <v>0.1</v>
      </c>
      <c r="N17" s="3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1</v>
      </c>
      <c r="E18" s="1">
        <f t="shared" ref="E18:E21" si="13">J17</f>
        <v>-0.5</v>
      </c>
      <c r="F18" s="1">
        <f t="shared" ref="F18:F21" si="14">K17</f>
        <v>-0.5</v>
      </c>
      <c r="G18" s="1">
        <f t="shared" ref="G18:G21" si="15">B18*E18+C18*F18+L18</f>
        <v>1</v>
      </c>
      <c r="H18" s="1">
        <f t="shared" ref="H18:H21" si="16">IF(G18&gt;N18, 1, 0)</f>
        <v>1</v>
      </c>
      <c r="I18" s="1">
        <f t="shared" ref="I18:I21" si="17">D18-H18</f>
        <v>0</v>
      </c>
      <c r="J18" s="1">
        <f t="shared" ref="J18:J21" si="18">E18+M18*I18*B18</f>
        <v>-0.5</v>
      </c>
      <c r="K18" s="1">
        <f t="shared" ref="K18:K21" si="19">F18+M18*I18*C18</f>
        <v>-0.5</v>
      </c>
      <c r="L18" s="1">
        <v>1</v>
      </c>
      <c r="M18" s="1">
        <v>0.1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0</v>
      </c>
      <c r="E19">
        <f t="shared" si="13"/>
        <v>-0.5</v>
      </c>
      <c r="F19">
        <f t="shared" si="14"/>
        <v>-0.5</v>
      </c>
      <c r="G19">
        <f t="shared" si="15"/>
        <v>0.5</v>
      </c>
      <c r="H19">
        <f t="shared" si="16"/>
        <v>0</v>
      </c>
      <c r="I19">
        <f t="shared" si="17"/>
        <v>0</v>
      </c>
      <c r="J19">
        <f t="shared" si="18"/>
        <v>-0.5</v>
      </c>
      <c r="K19">
        <f t="shared" si="19"/>
        <v>-0.5</v>
      </c>
      <c r="L19">
        <v>1</v>
      </c>
      <c r="M19">
        <v>0.1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0</v>
      </c>
      <c r="E20">
        <f t="shared" si="13"/>
        <v>-0.5</v>
      </c>
      <c r="F20">
        <f t="shared" si="14"/>
        <v>-0.5</v>
      </c>
      <c r="G20">
        <f t="shared" si="15"/>
        <v>0.5</v>
      </c>
      <c r="H20">
        <f t="shared" si="16"/>
        <v>0</v>
      </c>
      <c r="I20">
        <f t="shared" si="17"/>
        <v>0</v>
      </c>
      <c r="J20">
        <f t="shared" si="18"/>
        <v>-0.5</v>
      </c>
      <c r="K20">
        <f t="shared" si="19"/>
        <v>-0.5</v>
      </c>
      <c r="L20">
        <v>1</v>
      </c>
      <c r="M20">
        <v>0.1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0</v>
      </c>
      <c r="E21" s="4">
        <f t="shared" si="13"/>
        <v>-0.5</v>
      </c>
      <c r="F21" s="4">
        <f t="shared" si="14"/>
        <v>-0.5</v>
      </c>
      <c r="G21" s="4">
        <f t="shared" si="15"/>
        <v>0</v>
      </c>
      <c r="H21" s="4">
        <f t="shared" si="16"/>
        <v>0</v>
      </c>
      <c r="I21" s="4">
        <f t="shared" si="17"/>
        <v>0</v>
      </c>
      <c r="J21" s="4">
        <f t="shared" si="18"/>
        <v>-0.5</v>
      </c>
      <c r="K21" s="4">
        <f t="shared" si="19"/>
        <v>-0.5</v>
      </c>
      <c r="L21" s="4">
        <v>1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765E-D032-43B4-9F3D-3839E7C34A8B}">
  <dimension ref="A1:Q41"/>
  <sheetViews>
    <sheetView topLeftCell="C17" workbookViewId="0">
      <selection activeCell="O43" sqref="O43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35">
        <v>1</v>
      </c>
      <c r="B2" s="1">
        <v>0</v>
      </c>
      <c r="C2" s="1">
        <v>0</v>
      </c>
      <c r="D2" s="1">
        <v>0</v>
      </c>
      <c r="E2" s="1">
        <v>1</v>
      </c>
      <c r="F2" s="1">
        <v>0.1</v>
      </c>
      <c r="G2" s="1">
        <v>0.1</v>
      </c>
      <c r="H2" s="1">
        <v>0.1</v>
      </c>
      <c r="I2" s="1">
        <f>B2*F2+C2*G2+D2*H2+O2</f>
        <v>1</v>
      </c>
      <c r="J2" s="1">
        <f>IF(I2&gt;Q2,1,0)</f>
        <v>1</v>
      </c>
      <c r="K2" s="1">
        <f>E2-J2</f>
        <v>0</v>
      </c>
      <c r="L2" s="1">
        <f>F2+(P2*K2*B2)</f>
        <v>0.1</v>
      </c>
      <c r="M2" s="1">
        <f>F2+(P2*K2*C2)</f>
        <v>0.1</v>
      </c>
      <c r="N2" s="1">
        <f>F2+(P2*K2*D2)</f>
        <v>0.1</v>
      </c>
      <c r="O2">
        <v>1</v>
      </c>
      <c r="P2" s="1">
        <v>0.1</v>
      </c>
      <c r="Q2" s="2">
        <v>0.5</v>
      </c>
    </row>
    <row r="3" spans="1:17" x14ac:dyDescent="0.3">
      <c r="A3" s="36"/>
      <c r="B3">
        <v>0</v>
      </c>
      <c r="C3">
        <v>0</v>
      </c>
      <c r="D3">
        <v>1</v>
      </c>
      <c r="E3">
        <v>0</v>
      </c>
      <c r="F3">
        <f>L2</f>
        <v>0.1</v>
      </c>
      <c r="G3">
        <f>M2</f>
        <v>0.1</v>
      </c>
      <c r="H3">
        <f>N2</f>
        <v>0.1</v>
      </c>
      <c r="I3">
        <f t="shared" ref="I3:I9" si="0">B3*F3+C3*G3+D3*H3+O3</f>
        <v>1.1000000000000001</v>
      </c>
      <c r="J3">
        <f t="shared" ref="J3:J9" si="1">IF(I3&gt;Q3,1,0)</f>
        <v>1</v>
      </c>
      <c r="K3">
        <f t="shared" ref="K3:K9" si="2">E3-J3</f>
        <v>-1</v>
      </c>
      <c r="L3">
        <f t="shared" ref="L3:L9" si="3">F3+(P3*K3*B3)</f>
        <v>0.1</v>
      </c>
      <c r="M3">
        <f t="shared" ref="M3:M9" si="4">F3+(P3*K3*C3)</f>
        <v>0.1</v>
      </c>
      <c r="N3">
        <f t="shared" ref="N3:N9" si="5">F3+(P3*K3*D3)</f>
        <v>0</v>
      </c>
      <c r="O3">
        <v>1</v>
      </c>
      <c r="P3">
        <v>0.1</v>
      </c>
      <c r="Q3" s="3">
        <v>0.5</v>
      </c>
    </row>
    <row r="4" spans="1:17" x14ac:dyDescent="0.3">
      <c r="A4" s="36"/>
      <c r="B4">
        <v>0</v>
      </c>
      <c r="C4">
        <v>1</v>
      </c>
      <c r="D4">
        <v>0</v>
      </c>
      <c r="E4">
        <v>0</v>
      </c>
      <c r="F4">
        <f t="shared" ref="F4:H17" si="6">L3</f>
        <v>0.1</v>
      </c>
      <c r="G4">
        <f t="shared" si="6"/>
        <v>0.1</v>
      </c>
      <c r="H4">
        <f t="shared" si="6"/>
        <v>0</v>
      </c>
      <c r="I4">
        <f t="shared" si="0"/>
        <v>1.1000000000000001</v>
      </c>
      <c r="J4">
        <f t="shared" si="1"/>
        <v>1</v>
      </c>
      <c r="K4">
        <f t="shared" si="2"/>
        <v>-1</v>
      </c>
      <c r="L4">
        <f t="shared" si="3"/>
        <v>0.1</v>
      </c>
      <c r="M4">
        <f t="shared" si="4"/>
        <v>0</v>
      </c>
      <c r="N4">
        <f t="shared" si="5"/>
        <v>0.1</v>
      </c>
      <c r="O4">
        <v>1</v>
      </c>
      <c r="P4">
        <v>0.1</v>
      </c>
      <c r="Q4" s="3">
        <v>0.5</v>
      </c>
    </row>
    <row r="5" spans="1:17" x14ac:dyDescent="0.3">
      <c r="A5" s="36"/>
      <c r="B5">
        <v>0</v>
      </c>
      <c r="C5">
        <v>1</v>
      </c>
      <c r="D5">
        <v>1</v>
      </c>
      <c r="E5">
        <v>0</v>
      </c>
      <c r="F5">
        <f t="shared" si="6"/>
        <v>0.1</v>
      </c>
      <c r="G5">
        <f t="shared" si="6"/>
        <v>0</v>
      </c>
      <c r="H5">
        <f t="shared" si="6"/>
        <v>0.1</v>
      </c>
      <c r="I5">
        <f t="shared" si="0"/>
        <v>1.1000000000000001</v>
      </c>
      <c r="J5">
        <f t="shared" si="1"/>
        <v>1</v>
      </c>
      <c r="K5">
        <f t="shared" si="2"/>
        <v>-1</v>
      </c>
      <c r="L5">
        <f t="shared" si="3"/>
        <v>0.1</v>
      </c>
      <c r="M5">
        <f t="shared" si="4"/>
        <v>0</v>
      </c>
      <c r="N5">
        <f t="shared" si="5"/>
        <v>0</v>
      </c>
      <c r="O5">
        <v>1</v>
      </c>
      <c r="P5">
        <v>0.1</v>
      </c>
      <c r="Q5" s="3">
        <v>0.5</v>
      </c>
    </row>
    <row r="6" spans="1:17" x14ac:dyDescent="0.3">
      <c r="A6" s="36"/>
      <c r="B6">
        <v>1</v>
      </c>
      <c r="C6">
        <v>0</v>
      </c>
      <c r="D6">
        <v>0</v>
      </c>
      <c r="E6">
        <v>0</v>
      </c>
      <c r="F6">
        <f t="shared" si="6"/>
        <v>0.1</v>
      </c>
      <c r="G6">
        <f t="shared" si="6"/>
        <v>0</v>
      </c>
      <c r="H6">
        <f t="shared" si="6"/>
        <v>0</v>
      </c>
      <c r="I6">
        <f t="shared" si="0"/>
        <v>1.1000000000000001</v>
      </c>
      <c r="J6">
        <f t="shared" si="1"/>
        <v>1</v>
      </c>
      <c r="K6">
        <f t="shared" si="2"/>
        <v>-1</v>
      </c>
      <c r="L6">
        <f t="shared" si="3"/>
        <v>0</v>
      </c>
      <c r="M6">
        <f t="shared" si="4"/>
        <v>0.1</v>
      </c>
      <c r="N6">
        <f t="shared" si="5"/>
        <v>0.1</v>
      </c>
      <c r="O6">
        <v>1</v>
      </c>
      <c r="P6">
        <v>0.1</v>
      </c>
      <c r="Q6" s="3">
        <v>0.5</v>
      </c>
    </row>
    <row r="7" spans="1:17" x14ac:dyDescent="0.3">
      <c r="A7" s="36"/>
      <c r="B7">
        <v>1</v>
      </c>
      <c r="C7">
        <v>0</v>
      </c>
      <c r="D7">
        <v>1</v>
      </c>
      <c r="E7">
        <v>0</v>
      </c>
      <c r="F7">
        <f t="shared" si="6"/>
        <v>0</v>
      </c>
      <c r="G7">
        <f t="shared" si="6"/>
        <v>0.1</v>
      </c>
      <c r="H7">
        <f t="shared" si="6"/>
        <v>0.1</v>
      </c>
      <c r="I7">
        <f t="shared" si="0"/>
        <v>1.1000000000000001</v>
      </c>
      <c r="J7">
        <f t="shared" si="1"/>
        <v>1</v>
      </c>
      <c r="K7">
        <f t="shared" si="2"/>
        <v>-1</v>
      </c>
      <c r="L7">
        <f t="shared" si="3"/>
        <v>-0.1</v>
      </c>
      <c r="M7">
        <f t="shared" si="4"/>
        <v>0</v>
      </c>
      <c r="N7">
        <f t="shared" si="5"/>
        <v>-0.1</v>
      </c>
      <c r="O7">
        <v>1</v>
      </c>
      <c r="P7">
        <v>0.1</v>
      </c>
      <c r="Q7" s="3">
        <v>0.5</v>
      </c>
    </row>
    <row r="8" spans="1:17" x14ac:dyDescent="0.3">
      <c r="A8" s="36"/>
      <c r="B8">
        <v>1</v>
      </c>
      <c r="C8">
        <v>1</v>
      </c>
      <c r="D8">
        <v>0</v>
      </c>
      <c r="E8">
        <v>0</v>
      </c>
      <c r="F8">
        <f t="shared" si="6"/>
        <v>-0.1</v>
      </c>
      <c r="G8">
        <f t="shared" si="6"/>
        <v>0</v>
      </c>
      <c r="H8">
        <f t="shared" si="6"/>
        <v>-0.1</v>
      </c>
      <c r="I8">
        <f t="shared" si="0"/>
        <v>0.9</v>
      </c>
      <c r="J8">
        <f t="shared" si="1"/>
        <v>1</v>
      </c>
      <c r="K8">
        <f t="shared" si="2"/>
        <v>-1</v>
      </c>
      <c r="L8">
        <f t="shared" si="3"/>
        <v>-0.2</v>
      </c>
      <c r="M8">
        <f t="shared" si="4"/>
        <v>-0.2</v>
      </c>
      <c r="N8">
        <f t="shared" si="5"/>
        <v>-0.1</v>
      </c>
      <c r="O8">
        <v>1</v>
      </c>
      <c r="P8">
        <v>0.1</v>
      </c>
      <c r="Q8" s="3">
        <v>0.5</v>
      </c>
    </row>
    <row r="9" spans="1:17" x14ac:dyDescent="0.3">
      <c r="A9" s="36"/>
      <c r="B9">
        <v>1</v>
      </c>
      <c r="C9">
        <v>1</v>
      </c>
      <c r="D9">
        <v>1</v>
      </c>
      <c r="E9">
        <v>0</v>
      </c>
      <c r="F9">
        <f t="shared" si="6"/>
        <v>-0.2</v>
      </c>
      <c r="G9">
        <f t="shared" si="6"/>
        <v>-0.2</v>
      </c>
      <c r="H9">
        <f t="shared" si="6"/>
        <v>-0.1</v>
      </c>
      <c r="I9">
        <f t="shared" si="0"/>
        <v>0.5</v>
      </c>
      <c r="J9">
        <f t="shared" si="1"/>
        <v>0</v>
      </c>
      <c r="K9">
        <f t="shared" si="2"/>
        <v>0</v>
      </c>
      <c r="L9">
        <f t="shared" si="3"/>
        <v>-0.2</v>
      </c>
      <c r="M9">
        <f t="shared" si="4"/>
        <v>-0.2</v>
      </c>
      <c r="N9">
        <f t="shared" si="5"/>
        <v>-0.2</v>
      </c>
      <c r="O9" s="4">
        <v>1</v>
      </c>
      <c r="P9">
        <v>0.1</v>
      </c>
      <c r="Q9" s="3">
        <v>0.5</v>
      </c>
    </row>
    <row r="10" spans="1:17" x14ac:dyDescent="0.3">
      <c r="A10" s="24">
        <v>2</v>
      </c>
      <c r="B10" s="1">
        <v>0</v>
      </c>
      <c r="C10" s="1">
        <v>0</v>
      </c>
      <c r="D10" s="1">
        <v>0</v>
      </c>
      <c r="E10" s="1">
        <v>1</v>
      </c>
      <c r="F10" s="1">
        <f t="shared" si="6"/>
        <v>-0.2</v>
      </c>
      <c r="G10" s="1">
        <f t="shared" si="6"/>
        <v>-0.2</v>
      </c>
      <c r="H10" s="1">
        <f t="shared" si="6"/>
        <v>-0.2</v>
      </c>
      <c r="I10" s="1">
        <f>B10*F10+C10*G10+D10*H10+O10</f>
        <v>1</v>
      </c>
      <c r="J10" s="1">
        <f>IF(I10&gt;Q10,1,0)</f>
        <v>1</v>
      </c>
      <c r="K10" s="1">
        <f>E10-J10</f>
        <v>0</v>
      </c>
      <c r="L10" s="1">
        <f>F10+(P10*K10*B10)</f>
        <v>-0.2</v>
      </c>
      <c r="M10" s="1">
        <f>F10+(P10*K10*C10)</f>
        <v>-0.2</v>
      </c>
      <c r="N10" s="1">
        <f>F10+(P10*K10*D10)</f>
        <v>-0.2</v>
      </c>
      <c r="O10">
        <v>1</v>
      </c>
      <c r="P10" s="1">
        <v>0.1</v>
      </c>
      <c r="Q10" s="2">
        <v>0.5</v>
      </c>
    </row>
    <row r="11" spans="1:17" x14ac:dyDescent="0.3">
      <c r="A11" s="25"/>
      <c r="B11">
        <v>0</v>
      </c>
      <c r="C11">
        <v>0</v>
      </c>
      <c r="D11">
        <v>1</v>
      </c>
      <c r="E11">
        <v>0</v>
      </c>
      <c r="F11">
        <f t="shared" si="6"/>
        <v>-0.2</v>
      </c>
      <c r="G11">
        <f t="shared" si="6"/>
        <v>-0.2</v>
      </c>
      <c r="H11">
        <f t="shared" si="6"/>
        <v>-0.2</v>
      </c>
      <c r="I11">
        <f t="shared" ref="I11:I17" si="7">B11*F11+C11*G11+D11*H11+O11</f>
        <v>0.8</v>
      </c>
      <c r="J11">
        <f t="shared" ref="J11:J17" si="8">IF(I11&gt;Q11,1,0)</f>
        <v>1</v>
      </c>
      <c r="K11">
        <f t="shared" ref="K11:K17" si="9">E11-J11</f>
        <v>-1</v>
      </c>
      <c r="L11">
        <f t="shared" ref="L11:L17" si="10">F11+(P11*K11*B11)</f>
        <v>-0.2</v>
      </c>
      <c r="M11">
        <f t="shared" ref="M11:M17" si="11">F11+(P11*K11*C11)</f>
        <v>-0.2</v>
      </c>
      <c r="N11">
        <f t="shared" ref="N11:N17" si="12">F11+(P11*K11*D11)</f>
        <v>-0.30000000000000004</v>
      </c>
      <c r="O11">
        <v>1</v>
      </c>
      <c r="P11">
        <v>0.1</v>
      </c>
      <c r="Q11" s="3">
        <v>0.5</v>
      </c>
    </row>
    <row r="12" spans="1:17" x14ac:dyDescent="0.3">
      <c r="A12" s="25"/>
      <c r="B12">
        <v>0</v>
      </c>
      <c r="C12">
        <v>1</v>
      </c>
      <c r="D12">
        <v>0</v>
      </c>
      <c r="E12">
        <v>0</v>
      </c>
      <c r="F12">
        <f t="shared" si="6"/>
        <v>-0.2</v>
      </c>
      <c r="G12">
        <f t="shared" si="6"/>
        <v>-0.2</v>
      </c>
      <c r="H12">
        <f t="shared" si="6"/>
        <v>-0.30000000000000004</v>
      </c>
      <c r="I12">
        <f t="shared" si="7"/>
        <v>0.8</v>
      </c>
      <c r="J12">
        <f t="shared" si="8"/>
        <v>1</v>
      </c>
      <c r="K12">
        <f t="shared" si="9"/>
        <v>-1</v>
      </c>
      <c r="L12">
        <f t="shared" si="10"/>
        <v>-0.2</v>
      </c>
      <c r="M12">
        <f t="shared" si="11"/>
        <v>-0.30000000000000004</v>
      </c>
      <c r="N12">
        <f t="shared" si="12"/>
        <v>-0.2</v>
      </c>
      <c r="O12">
        <v>1</v>
      </c>
      <c r="P12">
        <v>0.1</v>
      </c>
      <c r="Q12" s="3">
        <v>0.5</v>
      </c>
    </row>
    <row r="13" spans="1:17" x14ac:dyDescent="0.3">
      <c r="A13" s="25"/>
      <c r="B13">
        <v>0</v>
      </c>
      <c r="C13">
        <v>1</v>
      </c>
      <c r="D13">
        <v>1</v>
      </c>
      <c r="E13">
        <v>0</v>
      </c>
      <c r="F13">
        <f t="shared" si="6"/>
        <v>-0.2</v>
      </c>
      <c r="G13">
        <f t="shared" si="6"/>
        <v>-0.30000000000000004</v>
      </c>
      <c r="H13">
        <f t="shared" si="6"/>
        <v>-0.2</v>
      </c>
      <c r="I13">
        <f t="shared" si="7"/>
        <v>0.5</v>
      </c>
      <c r="J13">
        <f t="shared" si="8"/>
        <v>0</v>
      </c>
      <c r="K13">
        <f t="shared" si="9"/>
        <v>0</v>
      </c>
      <c r="L13">
        <f t="shared" si="10"/>
        <v>-0.2</v>
      </c>
      <c r="M13">
        <f t="shared" si="11"/>
        <v>-0.2</v>
      </c>
      <c r="N13">
        <f t="shared" si="12"/>
        <v>-0.2</v>
      </c>
      <c r="O13">
        <v>1</v>
      </c>
      <c r="P13">
        <v>0.1</v>
      </c>
      <c r="Q13" s="3">
        <v>0.5</v>
      </c>
    </row>
    <row r="14" spans="1:17" x14ac:dyDescent="0.3">
      <c r="A14" s="25"/>
      <c r="B14">
        <v>1</v>
      </c>
      <c r="C14">
        <v>0</v>
      </c>
      <c r="D14">
        <v>0</v>
      </c>
      <c r="E14">
        <v>0</v>
      </c>
      <c r="F14">
        <f t="shared" si="6"/>
        <v>-0.2</v>
      </c>
      <c r="G14">
        <f t="shared" si="6"/>
        <v>-0.2</v>
      </c>
      <c r="H14">
        <f t="shared" si="6"/>
        <v>-0.2</v>
      </c>
      <c r="I14">
        <f t="shared" si="7"/>
        <v>0.8</v>
      </c>
      <c r="J14">
        <f t="shared" si="8"/>
        <v>1</v>
      </c>
      <c r="K14">
        <f t="shared" si="9"/>
        <v>-1</v>
      </c>
      <c r="L14">
        <f t="shared" si="10"/>
        <v>-0.30000000000000004</v>
      </c>
      <c r="M14">
        <f t="shared" si="11"/>
        <v>-0.2</v>
      </c>
      <c r="N14">
        <f t="shared" si="12"/>
        <v>-0.2</v>
      </c>
      <c r="O14">
        <v>1</v>
      </c>
      <c r="P14">
        <v>0.1</v>
      </c>
      <c r="Q14" s="3">
        <v>0.5</v>
      </c>
    </row>
    <row r="15" spans="1:17" x14ac:dyDescent="0.3">
      <c r="A15" s="25"/>
      <c r="B15">
        <v>1</v>
      </c>
      <c r="C15">
        <v>0</v>
      </c>
      <c r="D15">
        <v>1</v>
      </c>
      <c r="E15">
        <v>0</v>
      </c>
      <c r="F15">
        <f t="shared" si="6"/>
        <v>-0.30000000000000004</v>
      </c>
      <c r="G15">
        <f t="shared" si="6"/>
        <v>-0.2</v>
      </c>
      <c r="H15">
        <f t="shared" si="6"/>
        <v>-0.2</v>
      </c>
      <c r="I15">
        <f t="shared" si="7"/>
        <v>0.5</v>
      </c>
      <c r="J15">
        <f t="shared" si="8"/>
        <v>0</v>
      </c>
      <c r="K15">
        <f t="shared" si="9"/>
        <v>0</v>
      </c>
      <c r="L15">
        <f t="shared" si="10"/>
        <v>-0.30000000000000004</v>
      </c>
      <c r="M15">
        <f t="shared" si="11"/>
        <v>-0.30000000000000004</v>
      </c>
      <c r="N15">
        <f t="shared" si="12"/>
        <v>-0.30000000000000004</v>
      </c>
      <c r="O15">
        <v>1</v>
      </c>
      <c r="P15">
        <v>0.1</v>
      </c>
      <c r="Q15" s="3">
        <v>0.5</v>
      </c>
    </row>
    <row r="16" spans="1:17" x14ac:dyDescent="0.3">
      <c r="A16" s="25"/>
      <c r="B16">
        <v>1</v>
      </c>
      <c r="C16">
        <v>1</v>
      </c>
      <c r="D16">
        <v>0</v>
      </c>
      <c r="E16">
        <v>0</v>
      </c>
      <c r="F16">
        <f t="shared" si="6"/>
        <v>-0.30000000000000004</v>
      </c>
      <c r="G16">
        <f t="shared" si="6"/>
        <v>-0.30000000000000004</v>
      </c>
      <c r="H16">
        <f t="shared" si="6"/>
        <v>-0.30000000000000004</v>
      </c>
      <c r="I16">
        <f t="shared" si="7"/>
        <v>0.39999999999999991</v>
      </c>
      <c r="J16">
        <f t="shared" si="8"/>
        <v>0</v>
      </c>
      <c r="K16">
        <f t="shared" si="9"/>
        <v>0</v>
      </c>
      <c r="L16">
        <f t="shared" si="10"/>
        <v>-0.30000000000000004</v>
      </c>
      <c r="M16">
        <f t="shared" si="11"/>
        <v>-0.30000000000000004</v>
      </c>
      <c r="N16">
        <f t="shared" si="12"/>
        <v>-0.30000000000000004</v>
      </c>
      <c r="O16">
        <v>1</v>
      </c>
      <c r="P16">
        <v>0.1</v>
      </c>
      <c r="Q16" s="3">
        <v>0.5</v>
      </c>
    </row>
    <row r="17" spans="1:17" x14ac:dyDescent="0.3">
      <c r="A17" s="26"/>
      <c r="B17" s="4">
        <v>1</v>
      </c>
      <c r="C17" s="4">
        <v>1</v>
      </c>
      <c r="D17" s="4">
        <v>1</v>
      </c>
      <c r="E17">
        <v>0</v>
      </c>
      <c r="F17" s="4">
        <f t="shared" si="6"/>
        <v>-0.30000000000000004</v>
      </c>
      <c r="G17" s="4">
        <f t="shared" si="6"/>
        <v>-0.30000000000000004</v>
      </c>
      <c r="H17" s="4">
        <f t="shared" si="6"/>
        <v>-0.30000000000000004</v>
      </c>
      <c r="I17" s="4">
        <f t="shared" si="7"/>
        <v>9.9999999999999867E-2</v>
      </c>
      <c r="J17" s="4">
        <f t="shared" si="8"/>
        <v>0</v>
      </c>
      <c r="K17" s="4">
        <f t="shared" si="9"/>
        <v>0</v>
      </c>
      <c r="L17" s="4">
        <f t="shared" si="10"/>
        <v>-0.30000000000000004</v>
      </c>
      <c r="M17" s="4">
        <f t="shared" si="11"/>
        <v>-0.30000000000000004</v>
      </c>
      <c r="N17" s="4">
        <f t="shared" si="12"/>
        <v>-0.30000000000000004</v>
      </c>
      <c r="O17" s="4">
        <v>1</v>
      </c>
      <c r="P17" s="4">
        <v>0.1</v>
      </c>
      <c r="Q17" s="5">
        <v>0.5</v>
      </c>
    </row>
    <row r="18" spans="1:17" x14ac:dyDescent="0.3">
      <c r="A18" s="24">
        <v>3</v>
      </c>
      <c r="B18" s="1">
        <v>0</v>
      </c>
      <c r="C18" s="1">
        <v>0</v>
      </c>
      <c r="D18" s="1">
        <v>0</v>
      </c>
      <c r="E18" s="1">
        <v>1</v>
      </c>
      <c r="F18" s="1">
        <f t="shared" ref="F18:F41" si="13">L17</f>
        <v>-0.30000000000000004</v>
      </c>
      <c r="G18" s="1">
        <f t="shared" ref="G18:G41" si="14">M17</f>
        <v>-0.30000000000000004</v>
      </c>
      <c r="H18" s="1">
        <f t="shared" ref="H18:H41" si="15">N17</f>
        <v>-0.30000000000000004</v>
      </c>
      <c r="I18" s="1">
        <f>B18*F18+C18*G18+D18*H18+O18</f>
        <v>1</v>
      </c>
      <c r="J18" s="1">
        <f>IF(I18&gt;Q18,1,0)</f>
        <v>1</v>
      </c>
      <c r="K18" s="1">
        <f>E18-J18</f>
        <v>0</v>
      </c>
      <c r="L18" s="1">
        <f>F18+(P18*K18*B18)</f>
        <v>-0.30000000000000004</v>
      </c>
      <c r="M18" s="1">
        <f>F18+(P18*K18*C18)</f>
        <v>-0.30000000000000004</v>
      </c>
      <c r="N18" s="1">
        <f>F18+(P18*K18*D18)</f>
        <v>-0.30000000000000004</v>
      </c>
      <c r="O18">
        <v>1</v>
      </c>
      <c r="P18" s="1">
        <v>0.1</v>
      </c>
      <c r="Q18" s="2">
        <v>0.5</v>
      </c>
    </row>
    <row r="19" spans="1:17" x14ac:dyDescent="0.3">
      <c r="A19" s="25"/>
      <c r="B19">
        <v>0</v>
      </c>
      <c r="C19">
        <v>0</v>
      </c>
      <c r="D19">
        <v>1</v>
      </c>
      <c r="E19">
        <v>0</v>
      </c>
      <c r="F19">
        <f t="shared" si="13"/>
        <v>-0.30000000000000004</v>
      </c>
      <c r="G19">
        <f t="shared" si="14"/>
        <v>-0.30000000000000004</v>
      </c>
      <c r="H19">
        <f t="shared" si="15"/>
        <v>-0.30000000000000004</v>
      </c>
      <c r="I19">
        <f t="shared" ref="I19:I25" si="16">B19*F19+C19*G19+D19*H19+O19</f>
        <v>0.7</v>
      </c>
      <c r="J19">
        <f t="shared" ref="J19:J25" si="17">IF(I19&gt;Q19,1,0)</f>
        <v>1</v>
      </c>
      <c r="K19">
        <f t="shared" ref="K19:K25" si="18">E19-J19</f>
        <v>-1</v>
      </c>
      <c r="L19">
        <f t="shared" ref="L19:L25" si="19">F19+(P19*K19*B19)</f>
        <v>-0.30000000000000004</v>
      </c>
      <c r="M19">
        <f t="shared" ref="M19:M25" si="20">F19+(P19*K19*C19)</f>
        <v>-0.30000000000000004</v>
      </c>
      <c r="N19">
        <f t="shared" ref="N19:N25" si="21">F19+(P19*K19*D19)</f>
        <v>-0.4</v>
      </c>
      <c r="O19">
        <v>1</v>
      </c>
      <c r="P19">
        <v>0.1</v>
      </c>
      <c r="Q19" s="3">
        <v>0.5</v>
      </c>
    </row>
    <row r="20" spans="1:17" x14ac:dyDescent="0.3">
      <c r="A20" s="25"/>
      <c r="B20">
        <v>0</v>
      </c>
      <c r="C20">
        <v>1</v>
      </c>
      <c r="D20">
        <v>0</v>
      </c>
      <c r="E20">
        <v>0</v>
      </c>
      <c r="F20">
        <f t="shared" si="13"/>
        <v>-0.30000000000000004</v>
      </c>
      <c r="G20">
        <f t="shared" si="14"/>
        <v>-0.30000000000000004</v>
      </c>
      <c r="H20">
        <f t="shared" si="15"/>
        <v>-0.4</v>
      </c>
      <c r="I20">
        <f t="shared" si="16"/>
        <v>0.7</v>
      </c>
      <c r="J20">
        <f t="shared" si="17"/>
        <v>1</v>
      </c>
      <c r="K20">
        <f t="shared" si="18"/>
        <v>-1</v>
      </c>
      <c r="L20">
        <f t="shared" si="19"/>
        <v>-0.30000000000000004</v>
      </c>
      <c r="M20">
        <f t="shared" si="20"/>
        <v>-0.4</v>
      </c>
      <c r="N20">
        <f t="shared" si="21"/>
        <v>-0.30000000000000004</v>
      </c>
      <c r="O20">
        <v>1</v>
      </c>
      <c r="P20">
        <v>0.1</v>
      </c>
      <c r="Q20" s="3">
        <v>0.5</v>
      </c>
    </row>
    <row r="21" spans="1:17" x14ac:dyDescent="0.3">
      <c r="A21" s="25"/>
      <c r="B21">
        <v>0</v>
      </c>
      <c r="C21">
        <v>1</v>
      </c>
      <c r="D21">
        <v>1</v>
      </c>
      <c r="E21">
        <v>0</v>
      </c>
      <c r="F21">
        <f t="shared" si="13"/>
        <v>-0.30000000000000004</v>
      </c>
      <c r="G21">
        <f t="shared" si="14"/>
        <v>-0.4</v>
      </c>
      <c r="H21">
        <f t="shared" si="15"/>
        <v>-0.30000000000000004</v>
      </c>
      <c r="I21">
        <f t="shared" si="16"/>
        <v>0.29999999999999993</v>
      </c>
      <c r="J21">
        <f t="shared" si="17"/>
        <v>0</v>
      </c>
      <c r="K21">
        <f t="shared" si="18"/>
        <v>0</v>
      </c>
      <c r="L21">
        <f t="shared" si="19"/>
        <v>-0.30000000000000004</v>
      </c>
      <c r="M21">
        <f t="shared" si="20"/>
        <v>-0.30000000000000004</v>
      </c>
      <c r="N21">
        <f t="shared" si="21"/>
        <v>-0.30000000000000004</v>
      </c>
      <c r="O21">
        <v>1</v>
      </c>
      <c r="P21">
        <v>0.1</v>
      </c>
      <c r="Q21" s="3">
        <v>0.5</v>
      </c>
    </row>
    <row r="22" spans="1:17" x14ac:dyDescent="0.3">
      <c r="A22" s="25"/>
      <c r="B22">
        <v>1</v>
      </c>
      <c r="C22">
        <v>0</v>
      </c>
      <c r="D22">
        <v>0</v>
      </c>
      <c r="E22">
        <v>0</v>
      </c>
      <c r="F22">
        <f t="shared" si="13"/>
        <v>-0.30000000000000004</v>
      </c>
      <c r="G22">
        <f t="shared" si="14"/>
        <v>-0.30000000000000004</v>
      </c>
      <c r="H22">
        <f t="shared" si="15"/>
        <v>-0.30000000000000004</v>
      </c>
      <c r="I22">
        <f t="shared" si="16"/>
        <v>0.7</v>
      </c>
      <c r="J22">
        <f t="shared" si="17"/>
        <v>1</v>
      </c>
      <c r="K22">
        <f t="shared" si="18"/>
        <v>-1</v>
      </c>
      <c r="L22">
        <f t="shared" si="19"/>
        <v>-0.4</v>
      </c>
      <c r="M22">
        <f t="shared" si="20"/>
        <v>-0.30000000000000004</v>
      </c>
      <c r="N22">
        <f t="shared" si="21"/>
        <v>-0.30000000000000004</v>
      </c>
      <c r="O22">
        <v>1</v>
      </c>
      <c r="P22">
        <v>0.1</v>
      </c>
      <c r="Q22" s="3">
        <v>0.5</v>
      </c>
    </row>
    <row r="23" spans="1:17" x14ac:dyDescent="0.3">
      <c r="A23" s="25"/>
      <c r="B23">
        <v>1</v>
      </c>
      <c r="C23">
        <v>0</v>
      </c>
      <c r="D23">
        <v>1</v>
      </c>
      <c r="E23">
        <v>0</v>
      </c>
      <c r="F23">
        <f t="shared" si="13"/>
        <v>-0.4</v>
      </c>
      <c r="G23">
        <f t="shared" si="14"/>
        <v>-0.30000000000000004</v>
      </c>
      <c r="H23">
        <f t="shared" si="15"/>
        <v>-0.30000000000000004</v>
      </c>
      <c r="I23">
        <f t="shared" si="16"/>
        <v>0.29999999999999993</v>
      </c>
      <c r="J23">
        <f t="shared" si="17"/>
        <v>0</v>
      </c>
      <c r="K23">
        <f t="shared" si="18"/>
        <v>0</v>
      </c>
      <c r="L23">
        <f t="shared" si="19"/>
        <v>-0.4</v>
      </c>
      <c r="M23">
        <f t="shared" si="20"/>
        <v>-0.4</v>
      </c>
      <c r="N23">
        <f t="shared" si="21"/>
        <v>-0.4</v>
      </c>
      <c r="O23">
        <v>1</v>
      </c>
      <c r="P23">
        <v>0.1</v>
      </c>
      <c r="Q23" s="3">
        <v>0.5</v>
      </c>
    </row>
    <row r="24" spans="1:17" x14ac:dyDescent="0.3">
      <c r="A24" s="25"/>
      <c r="B24">
        <v>1</v>
      </c>
      <c r="C24">
        <v>1</v>
      </c>
      <c r="D24">
        <v>0</v>
      </c>
      <c r="E24">
        <v>0</v>
      </c>
      <c r="F24">
        <f t="shared" si="13"/>
        <v>-0.4</v>
      </c>
      <c r="G24">
        <f t="shared" si="14"/>
        <v>-0.4</v>
      </c>
      <c r="H24">
        <f t="shared" si="15"/>
        <v>-0.4</v>
      </c>
      <c r="I24">
        <f t="shared" si="16"/>
        <v>0.19999999999999996</v>
      </c>
      <c r="J24">
        <f t="shared" si="17"/>
        <v>0</v>
      </c>
      <c r="K24">
        <f t="shared" si="18"/>
        <v>0</v>
      </c>
      <c r="L24">
        <f t="shared" si="19"/>
        <v>-0.4</v>
      </c>
      <c r="M24">
        <f t="shared" si="20"/>
        <v>-0.4</v>
      </c>
      <c r="N24">
        <f t="shared" si="21"/>
        <v>-0.4</v>
      </c>
      <c r="O24">
        <v>1</v>
      </c>
      <c r="P24">
        <v>0.1</v>
      </c>
      <c r="Q24" s="3">
        <v>0.5</v>
      </c>
    </row>
    <row r="25" spans="1:17" x14ac:dyDescent="0.3">
      <c r="A25" s="26"/>
      <c r="B25" s="4">
        <v>1</v>
      </c>
      <c r="C25" s="4">
        <v>1</v>
      </c>
      <c r="D25" s="4">
        <v>1</v>
      </c>
      <c r="E25">
        <v>0</v>
      </c>
      <c r="F25" s="4">
        <f t="shared" si="13"/>
        <v>-0.4</v>
      </c>
      <c r="G25" s="4">
        <f t="shared" si="14"/>
        <v>-0.4</v>
      </c>
      <c r="H25" s="4">
        <f t="shared" si="15"/>
        <v>-0.4</v>
      </c>
      <c r="I25" s="4">
        <f t="shared" si="16"/>
        <v>-0.20000000000000018</v>
      </c>
      <c r="J25" s="4">
        <f t="shared" si="17"/>
        <v>0</v>
      </c>
      <c r="K25" s="4">
        <f t="shared" si="18"/>
        <v>0</v>
      </c>
      <c r="L25" s="4">
        <f t="shared" si="19"/>
        <v>-0.4</v>
      </c>
      <c r="M25" s="4">
        <f t="shared" si="20"/>
        <v>-0.4</v>
      </c>
      <c r="N25" s="4">
        <f t="shared" si="21"/>
        <v>-0.4</v>
      </c>
      <c r="O25" s="4">
        <v>1</v>
      </c>
      <c r="P25" s="4">
        <v>0.1</v>
      </c>
      <c r="Q25" s="5">
        <v>0.5</v>
      </c>
    </row>
    <row r="26" spans="1:17" x14ac:dyDescent="0.3">
      <c r="A26" s="24">
        <v>4</v>
      </c>
      <c r="B26" s="1">
        <v>0</v>
      </c>
      <c r="C26" s="1">
        <v>0</v>
      </c>
      <c r="D26" s="1">
        <v>0</v>
      </c>
      <c r="E26" s="1">
        <v>1</v>
      </c>
      <c r="F26" s="1">
        <f t="shared" si="13"/>
        <v>-0.4</v>
      </c>
      <c r="G26" s="1">
        <f t="shared" si="14"/>
        <v>-0.4</v>
      </c>
      <c r="H26" s="1">
        <f t="shared" si="15"/>
        <v>-0.4</v>
      </c>
      <c r="I26" s="1">
        <f>B26*F26+C26*G26+D26*H26+O26</f>
        <v>1</v>
      </c>
      <c r="J26" s="1">
        <f>IF(I26&gt;Q26,1,0)</f>
        <v>1</v>
      </c>
      <c r="K26" s="1">
        <f>E26-J26</f>
        <v>0</v>
      </c>
      <c r="L26" s="1">
        <f>F26+(P26*K26*B26)</f>
        <v>-0.4</v>
      </c>
      <c r="M26" s="1">
        <f>F26+(P26*K26*C26)</f>
        <v>-0.4</v>
      </c>
      <c r="N26" s="1">
        <f>F26+(P26*K26*D26)</f>
        <v>-0.4</v>
      </c>
      <c r="O26">
        <v>1</v>
      </c>
      <c r="P26" s="1">
        <v>0.1</v>
      </c>
      <c r="Q26" s="2">
        <v>0.5</v>
      </c>
    </row>
    <row r="27" spans="1:17" x14ac:dyDescent="0.3">
      <c r="A27" s="25"/>
      <c r="B27">
        <v>0</v>
      </c>
      <c r="C27">
        <v>0</v>
      </c>
      <c r="D27">
        <v>1</v>
      </c>
      <c r="E27">
        <v>0</v>
      </c>
      <c r="F27">
        <f t="shared" si="13"/>
        <v>-0.4</v>
      </c>
      <c r="G27">
        <f t="shared" si="14"/>
        <v>-0.4</v>
      </c>
      <c r="H27">
        <f t="shared" si="15"/>
        <v>-0.4</v>
      </c>
      <c r="I27">
        <f t="shared" ref="I27:I33" si="22">B27*F27+C27*G27+D27*H27+O27</f>
        <v>0.6</v>
      </c>
      <c r="J27">
        <f t="shared" ref="J27:J33" si="23">IF(I27&gt;Q27,1,0)</f>
        <v>1</v>
      </c>
      <c r="K27">
        <f t="shared" ref="K27:K33" si="24">E27-J27</f>
        <v>-1</v>
      </c>
      <c r="L27">
        <f t="shared" ref="L27:L33" si="25">F27+(P27*K27*B27)</f>
        <v>-0.4</v>
      </c>
      <c r="M27">
        <f t="shared" ref="M27:M33" si="26">F27+(P27*K27*C27)</f>
        <v>-0.4</v>
      </c>
      <c r="N27">
        <f t="shared" ref="N27:N33" si="27">F27+(P27*K27*D27)</f>
        <v>-0.5</v>
      </c>
      <c r="O27">
        <v>1</v>
      </c>
      <c r="P27">
        <v>0.1</v>
      </c>
      <c r="Q27" s="3">
        <v>0.5</v>
      </c>
    </row>
    <row r="28" spans="1:17" x14ac:dyDescent="0.3">
      <c r="A28" s="25"/>
      <c r="B28">
        <v>0</v>
      </c>
      <c r="C28">
        <v>1</v>
      </c>
      <c r="D28">
        <v>0</v>
      </c>
      <c r="E28">
        <v>0</v>
      </c>
      <c r="F28">
        <f t="shared" si="13"/>
        <v>-0.4</v>
      </c>
      <c r="G28">
        <f t="shared" si="14"/>
        <v>-0.4</v>
      </c>
      <c r="H28">
        <f t="shared" si="15"/>
        <v>-0.5</v>
      </c>
      <c r="I28">
        <f t="shared" si="22"/>
        <v>0.6</v>
      </c>
      <c r="J28">
        <f t="shared" si="23"/>
        <v>1</v>
      </c>
      <c r="K28">
        <f t="shared" si="24"/>
        <v>-1</v>
      </c>
      <c r="L28">
        <f t="shared" si="25"/>
        <v>-0.4</v>
      </c>
      <c r="M28">
        <f t="shared" si="26"/>
        <v>-0.5</v>
      </c>
      <c r="N28">
        <f t="shared" si="27"/>
        <v>-0.4</v>
      </c>
      <c r="O28">
        <v>1</v>
      </c>
      <c r="P28">
        <v>0.1</v>
      </c>
      <c r="Q28" s="3">
        <v>0.5</v>
      </c>
    </row>
    <row r="29" spans="1:17" x14ac:dyDescent="0.3">
      <c r="A29" s="25"/>
      <c r="B29">
        <v>0</v>
      </c>
      <c r="C29">
        <v>1</v>
      </c>
      <c r="D29">
        <v>1</v>
      </c>
      <c r="E29">
        <v>0</v>
      </c>
      <c r="F29">
        <f t="shared" si="13"/>
        <v>-0.4</v>
      </c>
      <c r="G29">
        <f t="shared" si="14"/>
        <v>-0.5</v>
      </c>
      <c r="H29">
        <f t="shared" si="15"/>
        <v>-0.4</v>
      </c>
      <c r="I29">
        <f t="shared" si="22"/>
        <v>9.9999999999999978E-2</v>
      </c>
      <c r="J29">
        <f t="shared" si="23"/>
        <v>0</v>
      </c>
      <c r="K29">
        <f t="shared" si="24"/>
        <v>0</v>
      </c>
      <c r="L29">
        <f t="shared" si="25"/>
        <v>-0.4</v>
      </c>
      <c r="M29">
        <f t="shared" si="26"/>
        <v>-0.4</v>
      </c>
      <c r="N29">
        <f t="shared" si="27"/>
        <v>-0.4</v>
      </c>
      <c r="O29">
        <v>1</v>
      </c>
      <c r="P29">
        <v>0.1</v>
      </c>
      <c r="Q29" s="3">
        <v>0.5</v>
      </c>
    </row>
    <row r="30" spans="1:17" x14ac:dyDescent="0.3">
      <c r="A30" s="25"/>
      <c r="B30">
        <v>1</v>
      </c>
      <c r="C30">
        <v>0</v>
      </c>
      <c r="D30">
        <v>0</v>
      </c>
      <c r="E30">
        <v>0</v>
      </c>
      <c r="F30">
        <f t="shared" si="13"/>
        <v>-0.4</v>
      </c>
      <c r="G30">
        <f t="shared" si="14"/>
        <v>-0.4</v>
      </c>
      <c r="H30">
        <f t="shared" si="15"/>
        <v>-0.4</v>
      </c>
      <c r="I30">
        <f t="shared" si="22"/>
        <v>0.6</v>
      </c>
      <c r="J30">
        <f t="shared" si="23"/>
        <v>1</v>
      </c>
      <c r="K30">
        <f t="shared" si="24"/>
        <v>-1</v>
      </c>
      <c r="L30">
        <f t="shared" si="25"/>
        <v>-0.5</v>
      </c>
      <c r="M30">
        <f t="shared" si="26"/>
        <v>-0.4</v>
      </c>
      <c r="N30">
        <f t="shared" si="27"/>
        <v>-0.4</v>
      </c>
      <c r="O30">
        <v>1</v>
      </c>
      <c r="P30">
        <v>0.1</v>
      </c>
      <c r="Q30" s="3">
        <v>0.5</v>
      </c>
    </row>
    <row r="31" spans="1:17" x14ac:dyDescent="0.3">
      <c r="A31" s="25"/>
      <c r="B31">
        <v>1</v>
      </c>
      <c r="C31">
        <v>0</v>
      </c>
      <c r="D31">
        <v>1</v>
      </c>
      <c r="E31">
        <v>0</v>
      </c>
      <c r="F31">
        <f t="shared" si="13"/>
        <v>-0.5</v>
      </c>
      <c r="G31">
        <f t="shared" si="14"/>
        <v>-0.4</v>
      </c>
      <c r="H31">
        <f t="shared" si="15"/>
        <v>-0.4</v>
      </c>
      <c r="I31">
        <f t="shared" si="22"/>
        <v>9.9999999999999978E-2</v>
      </c>
      <c r="J31">
        <f t="shared" si="23"/>
        <v>0</v>
      </c>
      <c r="K31">
        <f t="shared" si="24"/>
        <v>0</v>
      </c>
      <c r="L31">
        <f t="shared" si="25"/>
        <v>-0.5</v>
      </c>
      <c r="M31">
        <f t="shared" si="26"/>
        <v>-0.5</v>
      </c>
      <c r="N31">
        <f t="shared" si="27"/>
        <v>-0.5</v>
      </c>
      <c r="O31">
        <v>1</v>
      </c>
      <c r="P31">
        <v>0.1</v>
      </c>
      <c r="Q31" s="3">
        <v>0.5</v>
      </c>
    </row>
    <row r="32" spans="1:17" x14ac:dyDescent="0.3">
      <c r="A32" s="25"/>
      <c r="B32">
        <v>1</v>
      </c>
      <c r="C32">
        <v>1</v>
      </c>
      <c r="D32">
        <v>0</v>
      </c>
      <c r="E32">
        <v>0</v>
      </c>
      <c r="F32">
        <f t="shared" si="13"/>
        <v>-0.5</v>
      </c>
      <c r="G32">
        <f t="shared" si="14"/>
        <v>-0.5</v>
      </c>
      <c r="H32">
        <f t="shared" si="15"/>
        <v>-0.5</v>
      </c>
      <c r="I32">
        <f t="shared" si="22"/>
        <v>0</v>
      </c>
      <c r="J32">
        <f t="shared" si="23"/>
        <v>0</v>
      </c>
      <c r="K32">
        <f t="shared" si="24"/>
        <v>0</v>
      </c>
      <c r="L32">
        <f t="shared" si="25"/>
        <v>-0.5</v>
      </c>
      <c r="M32">
        <f t="shared" si="26"/>
        <v>-0.5</v>
      </c>
      <c r="N32">
        <f t="shared" si="27"/>
        <v>-0.5</v>
      </c>
      <c r="O32">
        <v>1</v>
      </c>
      <c r="P32">
        <v>0.1</v>
      </c>
      <c r="Q32" s="3">
        <v>0.5</v>
      </c>
    </row>
    <row r="33" spans="1:17" x14ac:dyDescent="0.3">
      <c r="A33" s="26"/>
      <c r="B33" s="4">
        <v>1</v>
      </c>
      <c r="C33" s="4">
        <v>1</v>
      </c>
      <c r="D33" s="4">
        <v>1</v>
      </c>
      <c r="E33">
        <v>0</v>
      </c>
      <c r="F33" s="4">
        <f t="shared" si="13"/>
        <v>-0.5</v>
      </c>
      <c r="G33" s="4">
        <f t="shared" si="14"/>
        <v>-0.5</v>
      </c>
      <c r="H33" s="4">
        <f t="shared" si="15"/>
        <v>-0.5</v>
      </c>
      <c r="I33" s="4">
        <f t="shared" si="22"/>
        <v>-0.5</v>
      </c>
      <c r="J33" s="4">
        <f t="shared" si="23"/>
        <v>0</v>
      </c>
      <c r="K33" s="4">
        <f t="shared" si="24"/>
        <v>0</v>
      </c>
      <c r="L33" s="4">
        <f t="shared" si="25"/>
        <v>-0.5</v>
      </c>
      <c r="M33" s="4">
        <f t="shared" si="26"/>
        <v>-0.5</v>
      </c>
      <c r="N33" s="4">
        <f t="shared" si="27"/>
        <v>-0.5</v>
      </c>
      <c r="O33" s="4">
        <v>1</v>
      </c>
      <c r="P33" s="4">
        <v>0.1</v>
      </c>
      <c r="Q33" s="5">
        <v>0.5</v>
      </c>
    </row>
    <row r="34" spans="1:17" x14ac:dyDescent="0.3">
      <c r="A34" s="24">
        <v>5</v>
      </c>
      <c r="B34" s="1">
        <v>0</v>
      </c>
      <c r="C34" s="1">
        <v>0</v>
      </c>
      <c r="D34" s="1">
        <v>0</v>
      </c>
      <c r="E34" s="1">
        <v>1</v>
      </c>
      <c r="F34" s="1">
        <f t="shared" si="13"/>
        <v>-0.5</v>
      </c>
      <c r="G34" s="1">
        <f t="shared" si="14"/>
        <v>-0.5</v>
      </c>
      <c r="H34" s="1">
        <f t="shared" si="15"/>
        <v>-0.5</v>
      </c>
      <c r="I34" s="1">
        <f>B34*F34+C34*G34+D34*H34+O34</f>
        <v>1</v>
      </c>
      <c r="J34" s="1">
        <f>IF(I34&gt;Q34,1,0)</f>
        <v>1</v>
      </c>
      <c r="K34" s="1">
        <f>E34-J34</f>
        <v>0</v>
      </c>
      <c r="L34" s="1">
        <f>F34+(P34*K34*B34)</f>
        <v>-0.5</v>
      </c>
      <c r="M34" s="1">
        <f>F34+(P34*K34*C34)</f>
        <v>-0.5</v>
      </c>
      <c r="N34" s="1">
        <f>F34+(P34*K34*D34)</f>
        <v>-0.5</v>
      </c>
      <c r="O34">
        <v>1</v>
      </c>
      <c r="P34" s="1">
        <v>0.1</v>
      </c>
      <c r="Q34" s="2">
        <v>0.5</v>
      </c>
    </row>
    <row r="35" spans="1:17" x14ac:dyDescent="0.3">
      <c r="A35" s="25"/>
      <c r="B35">
        <v>0</v>
      </c>
      <c r="C35">
        <v>0</v>
      </c>
      <c r="D35">
        <v>1</v>
      </c>
      <c r="E35">
        <v>0</v>
      </c>
      <c r="F35">
        <f t="shared" si="13"/>
        <v>-0.5</v>
      </c>
      <c r="G35">
        <f t="shared" si="14"/>
        <v>-0.5</v>
      </c>
      <c r="H35">
        <f t="shared" si="15"/>
        <v>-0.5</v>
      </c>
      <c r="I35">
        <f t="shared" ref="I35:I41" si="28">B35*F35+C35*G35+D35*H35+O35</f>
        <v>0.5</v>
      </c>
      <c r="J35">
        <f t="shared" ref="J35:J41" si="29">IF(I35&gt;Q35,1,0)</f>
        <v>0</v>
      </c>
      <c r="K35">
        <f t="shared" ref="K35:K41" si="30">E35-J35</f>
        <v>0</v>
      </c>
      <c r="L35">
        <f t="shared" ref="L35:L41" si="31">F35+(P35*K35*B35)</f>
        <v>-0.5</v>
      </c>
      <c r="M35">
        <f t="shared" ref="M35:M41" si="32">F35+(P35*K35*C35)</f>
        <v>-0.5</v>
      </c>
      <c r="N35">
        <f t="shared" ref="N35:N41" si="33">F35+(P35*K35*D35)</f>
        <v>-0.5</v>
      </c>
      <c r="O35">
        <v>1</v>
      </c>
      <c r="P35">
        <v>0.1</v>
      </c>
      <c r="Q35" s="3">
        <v>0.5</v>
      </c>
    </row>
    <row r="36" spans="1:17" x14ac:dyDescent="0.3">
      <c r="A36" s="25"/>
      <c r="B36">
        <v>0</v>
      </c>
      <c r="C36">
        <v>1</v>
      </c>
      <c r="D36">
        <v>0</v>
      </c>
      <c r="E36">
        <v>0</v>
      </c>
      <c r="F36">
        <f t="shared" si="13"/>
        <v>-0.5</v>
      </c>
      <c r="G36">
        <f t="shared" si="14"/>
        <v>-0.5</v>
      </c>
      <c r="H36">
        <f t="shared" si="15"/>
        <v>-0.5</v>
      </c>
      <c r="I36">
        <f t="shared" si="28"/>
        <v>0.5</v>
      </c>
      <c r="J36">
        <f t="shared" si="29"/>
        <v>0</v>
      </c>
      <c r="K36">
        <f t="shared" si="30"/>
        <v>0</v>
      </c>
      <c r="L36">
        <f t="shared" si="31"/>
        <v>-0.5</v>
      </c>
      <c r="M36">
        <f t="shared" si="32"/>
        <v>-0.5</v>
      </c>
      <c r="N36">
        <f t="shared" si="33"/>
        <v>-0.5</v>
      </c>
      <c r="O36">
        <v>1</v>
      </c>
      <c r="P36">
        <v>0.1</v>
      </c>
      <c r="Q36" s="3">
        <v>0.5</v>
      </c>
    </row>
    <row r="37" spans="1:17" x14ac:dyDescent="0.3">
      <c r="A37" s="25"/>
      <c r="B37">
        <v>0</v>
      </c>
      <c r="C37">
        <v>1</v>
      </c>
      <c r="D37">
        <v>1</v>
      </c>
      <c r="E37">
        <v>0</v>
      </c>
      <c r="F37">
        <f t="shared" si="13"/>
        <v>-0.5</v>
      </c>
      <c r="G37">
        <f t="shared" si="14"/>
        <v>-0.5</v>
      </c>
      <c r="H37">
        <f t="shared" si="15"/>
        <v>-0.5</v>
      </c>
      <c r="I37">
        <f t="shared" si="28"/>
        <v>0</v>
      </c>
      <c r="J37">
        <f t="shared" si="29"/>
        <v>0</v>
      </c>
      <c r="K37">
        <f t="shared" si="30"/>
        <v>0</v>
      </c>
      <c r="L37">
        <f t="shared" si="31"/>
        <v>-0.5</v>
      </c>
      <c r="M37">
        <f t="shared" si="32"/>
        <v>-0.5</v>
      </c>
      <c r="N37">
        <f t="shared" si="33"/>
        <v>-0.5</v>
      </c>
      <c r="O37">
        <v>1</v>
      </c>
      <c r="P37">
        <v>0.1</v>
      </c>
      <c r="Q37" s="3">
        <v>0.5</v>
      </c>
    </row>
    <row r="38" spans="1:17" x14ac:dyDescent="0.3">
      <c r="A38" s="25"/>
      <c r="B38">
        <v>1</v>
      </c>
      <c r="C38">
        <v>0</v>
      </c>
      <c r="D38">
        <v>0</v>
      </c>
      <c r="E38">
        <v>0</v>
      </c>
      <c r="F38">
        <f t="shared" si="13"/>
        <v>-0.5</v>
      </c>
      <c r="G38">
        <f t="shared" si="14"/>
        <v>-0.5</v>
      </c>
      <c r="H38">
        <f t="shared" si="15"/>
        <v>-0.5</v>
      </c>
      <c r="I38">
        <f t="shared" si="28"/>
        <v>0.5</v>
      </c>
      <c r="J38">
        <f t="shared" si="29"/>
        <v>0</v>
      </c>
      <c r="K38">
        <f t="shared" si="30"/>
        <v>0</v>
      </c>
      <c r="L38">
        <f t="shared" si="31"/>
        <v>-0.5</v>
      </c>
      <c r="M38">
        <f t="shared" si="32"/>
        <v>-0.5</v>
      </c>
      <c r="N38">
        <f t="shared" si="33"/>
        <v>-0.5</v>
      </c>
      <c r="O38">
        <v>1</v>
      </c>
      <c r="P38">
        <v>0.1</v>
      </c>
      <c r="Q38" s="3">
        <v>0.5</v>
      </c>
    </row>
    <row r="39" spans="1:17" x14ac:dyDescent="0.3">
      <c r="A39" s="25"/>
      <c r="B39">
        <v>1</v>
      </c>
      <c r="C39">
        <v>0</v>
      </c>
      <c r="D39">
        <v>1</v>
      </c>
      <c r="E39">
        <v>0</v>
      </c>
      <c r="F39">
        <f t="shared" si="13"/>
        <v>-0.5</v>
      </c>
      <c r="G39">
        <f t="shared" si="14"/>
        <v>-0.5</v>
      </c>
      <c r="H39">
        <f t="shared" si="15"/>
        <v>-0.5</v>
      </c>
      <c r="I39">
        <f t="shared" si="28"/>
        <v>0</v>
      </c>
      <c r="J39">
        <f t="shared" si="29"/>
        <v>0</v>
      </c>
      <c r="K39">
        <f t="shared" si="30"/>
        <v>0</v>
      </c>
      <c r="L39">
        <f t="shared" si="31"/>
        <v>-0.5</v>
      </c>
      <c r="M39">
        <f t="shared" si="32"/>
        <v>-0.5</v>
      </c>
      <c r="N39">
        <f t="shared" si="33"/>
        <v>-0.5</v>
      </c>
      <c r="O39">
        <v>1</v>
      </c>
      <c r="P39">
        <v>0.1</v>
      </c>
      <c r="Q39" s="3">
        <v>0.5</v>
      </c>
    </row>
    <row r="40" spans="1:17" x14ac:dyDescent="0.3">
      <c r="A40" s="25"/>
      <c r="B40">
        <v>1</v>
      </c>
      <c r="C40">
        <v>1</v>
      </c>
      <c r="D40">
        <v>0</v>
      </c>
      <c r="E40">
        <v>0</v>
      </c>
      <c r="F40">
        <f t="shared" si="13"/>
        <v>-0.5</v>
      </c>
      <c r="G40">
        <f t="shared" si="14"/>
        <v>-0.5</v>
      </c>
      <c r="H40">
        <f t="shared" si="15"/>
        <v>-0.5</v>
      </c>
      <c r="I40">
        <f t="shared" si="28"/>
        <v>0</v>
      </c>
      <c r="J40">
        <f t="shared" si="29"/>
        <v>0</v>
      </c>
      <c r="K40">
        <f t="shared" si="30"/>
        <v>0</v>
      </c>
      <c r="L40">
        <f t="shared" si="31"/>
        <v>-0.5</v>
      </c>
      <c r="M40">
        <f t="shared" si="32"/>
        <v>-0.5</v>
      </c>
      <c r="N40">
        <f t="shared" si="33"/>
        <v>-0.5</v>
      </c>
      <c r="O40">
        <v>1</v>
      </c>
      <c r="P40">
        <v>0.1</v>
      </c>
      <c r="Q40" s="3">
        <v>0.5</v>
      </c>
    </row>
    <row r="41" spans="1:17" x14ac:dyDescent="0.3">
      <c r="A41" s="26"/>
      <c r="B41" s="4">
        <v>1</v>
      </c>
      <c r="C41" s="4">
        <v>1</v>
      </c>
      <c r="D41" s="4">
        <v>1</v>
      </c>
      <c r="E41" s="4">
        <v>0</v>
      </c>
      <c r="F41" s="4">
        <f t="shared" si="13"/>
        <v>-0.5</v>
      </c>
      <c r="G41" s="4">
        <f t="shared" si="14"/>
        <v>-0.5</v>
      </c>
      <c r="H41" s="4">
        <f t="shared" si="15"/>
        <v>-0.5</v>
      </c>
      <c r="I41" s="4">
        <f t="shared" si="28"/>
        <v>-0.5</v>
      </c>
      <c r="J41" s="4">
        <f t="shared" si="29"/>
        <v>0</v>
      </c>
      <c r="K41" s="4">
        <f t="shared" si="30"/>
        <v>0</v>
      </c>
      <c r="L41" s="4">
        <f t="shared" si="31"/>
        <v>-0.5</v>
      </c>
      <c r="M41" s="4">
        <f t="shared" si="32"/>
        <v>-0.5</v>
      </c>
      <c r="N41" s="4">
        <f t="shared" si="33"/>
        <v>-0.5</v>
      </c>
      <c r="O41" s="4">
        <v>1</v>
      </c>
      <c r="P41" s="4">
        <v>0.1</v>
      </c>
      <c r="Q41" s="5">
        <v>0.5</v>
      </c>
    </row>
  </sheetData>
  <mergeCells count="5"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AC25-B49C-467E-B57B-84201D7730F2}">
  <dimension ref="A1:N56"/>
  <sheetViews>
    <sheetView topLeftCell="A34" workbookViewId="0">
      <selection activeCell="S41" sqref="S41"/>
    </sheetView>
  </sheetViews>
  <sheetFormatPr defaultRowHeight="14.4" x14ac:dyDescent="0.3"/>
  <cols>
    <col min="14" max="14" width="9.88671875" bestFit="1" customWidth="1"/>
  </cols>
  <sheetData>
    <row r="1" spans="1:14" ht="21" x14ac:dyDescent="0.4">
      <c r="A1" s="32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x14ac:dyDescent="0.3">
      <c r="A2" s="12" t="s">
        <v>11</v>
      </c>
      <c r="B2" s="10" t="s">
        <v>0</v>
      </c>
      <c r="C2" s="10" t="s">
        <v>1</v>
      </c>
      <c r="D2" s="11" t="s">
        <v>12</v>
      </c>
      <c r="E2" s="10" t="s">
        <v>2</v>
      </c>
      <c r="F2" s="10" t="s">
        <v>3</v>
      </c>
      <c r="G2" s="10" t="s">
        <v>9</v>
      </c>
      <c r="H2" s="11" t="s">
        <v>13</v>
      </c>
      <c r="I2" s="10" t="s">
        <v>10</v>
      </c>
      <c r="J2" s="10" t="s">
        <v>4</v>
      </c>
      <c r="K2" s="10" t="s">
        <v>5</v>
      </c>
      <c r="L2" s="10" t="s">
        <v>6</v>
      </c>
      <c r="M2" s="10" t="s">
        <v>7</v>
      </c>
      <c r="N2" s="13" t="s">
        <v>8</v>
      </c>
    </row>
    <row r="3" spans="1:14" x14ac:dyDescent="0.3">
      <c r="A3" s="27">
        <v>1</v>
      </c>
      <c r="B3" s="1">
        <v>0</v>
      </c>
      <c r="C3" s="1">
        <v>0</v>
      </c>
      <c r="D3" s="1">
        <v>0</v>
      </c>
      <c r="E3" s="1">
        <v>0.1</v>
      </c>
      <c r="F3" s="1">
        <v>0.1</v>
      </c>
      <c r="G3" s="1">
        <f>B3*E3+C3*F3+L3</f>
        <v>0</v>
      </c>
      <c r="H3" s="1">
        <f>IF(G3&gt;N3, 1, 0)</f>
        <v>0</v>
      </c>
      <c r="I3" s="1">
        <f>H49</f>
        <v>0</v>
      </c>
      <c r="J3" s="1">
        <f>E3+M3*I3*B3</f>
        <v>0.1</v>
      </c>
      <c r="K3" s="1">
        <f>F3+M3*I3*C3</f>
        <v>0.1</v>
      </c>
      <c r="L3" s="1">
        <v>0</v>
      </c>
      <c r="M3" s="1">
        <v>0.1</v>
      </c>
      <c r="N3" s="14">
        <v>0.5</v>
      </c>
    </row>
    <row r="4" spans="1:14" x14ac:dyDescent="0.3">
      <c r="A4" s="28"/>
      <c r="B4">
        <v>0</v>
      </c>
      <c r="C4">
        <v>1</v>
      </c>
      <c r="D4">
        <v>1</v>
      </c>
      <c r="E4">
        <f>J3</f>
        <v>0.1</v>
      </c>
      <c r="F4">
        <f>K3</f>
        <v>0.1</v>
      </c>
      <c r="G4">
        <f t="shared" ref="G4:G22" si="0">B4*E4+C4*F4+L4</f>
        <v>0.1</v>
      </c>
      <c r="H4">
        <f t="shared" ref="H4:H22" si="1">IF(G4&gt;N4, 1, 0)</f>
        <v>0</v>
      </c>
      <c r="I4">
        <f t="shared" ref="I4:I22" si="2">D4-H4</f>
        <v>1</v>
      </c>
      <c r="J4">
        <f t="shared" ref="J4:J22" si="3">E4+M4*I4*B4</f>
        <v>0.1</v>
      </c>
      <c r="K4">
        <f t="shared" ref="K4:K22" si="4">F4+M4*I4*C4</f>
        <v>0.2</v>
      </c>
      <c r="L4">
        <v>0</v>
      </c>
      <c r="M4">
        <v>0.1</v>
      </c>
      <c r="N4" s="15">
        <v>0.5</v>
      </c>
    </row>
    <row r="5" spans="1:14" x14ac:dyDescent="0.3">
      <c r="A5" s="28"/>
      <c r="B5">
        <v>1</v>
      </c>
      <c r="C5">
        <v>0</v>
      </c>
      <c r="D5">
        <v>1</v>
      </c>
      <c r="E5">
        <f t="shared" ref="E5:F20" si="5">J4</f>
        <v>0.1</v>
      </c>
      <c r="F5">
        <f t="shared" si="5"/>
        <v>0.2</v>
      </c>
      <c r="G5">
        <f t="shared" si="0"/>
        <v>0.1</v>
      </c>
      <c r="H5">
        <f t="shared" si="1"/>
        <v>0</v>
      </c>
      <c r="I5">
        <f t="shared" si="2"/>
        <v>1</v>
      </c>
      <c r="J5">
        <f t="shared" si="3"/>
        <v>0.2</v>
      </c>
      <c r="K5">
        <f t="shared" si="4"/>
        <v>0.2</v>
      </c>
      <c r="L5">
        <v>0</v>
      </c>
      <c r="M5">
        <v>0.1</v>
      </c>
      <c r="N5" s="15">
        <v>0.5</v>
      </c>
    </row>
    <row r="6" spans="1:14" x14ac:dyDescent="0.3">
      <c r="A6" s="31"/>
      <c r="B6">
        <v>1</v>
      </c>
      <c r="C6">
        <v>1</v>
      </c>
      <c r="D6">
        <v>1</v>
      </c>
      <c r="E6">
        <f t="shared" si="5"/>
        <v>0.2</v>
      </c>
      <c r="F6">
        <f t="shared" si="5"/>
        <v>0.2</v>
      </c>
      <c r="G6">
        <f t="shared" si="0"/>
        <v>0.4</v>
      </c>
      <c r="H6">
        <f t="shared" si="1"/>
        <v>0</v>
      </c>
      <c r="I6">
        <f t="shared" si="2"/>
        <v>1</v>
      </c>
      <c r="J6">
        <f t="shared" si="3"/>
        <v>0.30000000000000004</v>
      </c>
      <c r="K6">
        <f t="shared" si="4"/>
        <v>0.30000000000000004</v>
      </c>
      <c r="L6">
        <v>0</v>
      </c>
      <c r="M6">
        <v>0.1</v>
      </c>
      <c r="N6" s="15">
        <v>0.5</v>
      </c>
    </row>
    <row r="7" spans="1:14" x14ac:dyDescent="0.3">
      <c r="A7" s="27">
        <v>2</v>
      </c>
      <c r="B7" s="1">
        <v>0</v>
      </c>
      <c r="C7" s="1">
        <v>0</v>
      </c>
      <c r="D7" s="1">
        <v>0</v>
      </c>
      <c r="E7" s="1">
        <f t="shared" si="5"/>
        <v>0.30000000000000004</v>
      </c>
      <c r="F7" s="1">
        <f t="shared" si="5"/>
        <v>0.30000000000000004</v>
      </c>
      <c r="G7" s="1">
        <f t="shared" si="0"/>
        <v>0</v>
      </c>
      <c r="H7" s="1">
        <f t="shared" si="1"/>
        <v>0</v>
      </c>
      <c r="I7" s="1">
        <f t="shared" si="2"/>
        <v>0</v>
      </c>
      <c r="J7" s="1">
        <f t="shared" si="3"/>
        <v>0.30000000000000004</v>
      </c>
      <c r="K7" s="1">
        <f t="shared" si="4"/>
        <v>0.30000000000000004</v>
      </c>
      <c r="L7" s="1">
        <v>0</v>
      </c>
      <c r="M7" s="1">
        <v>0.1</v>
      </c>
      <c r="N7" s="14">
        <v>0.5</v>
      </c>
    </row>
    <row r="8" spans="1:14" x14ac:dyDescent="0.3">
      <c r="A8" s="28"/>
      <c r="B8">
        <v>0</v>
      </c>
      <c r="C8">
        <v>1</v>
      </c>
      <c r="D8">
        <v>1</v>
      </c>
      <c r="E8">
        <f t="shared" si="5"/>
        <v>0.30000000000000004</v>
      </c>
      <c r="F8">
        <f t="shared" si="5"/>
        <v>0.30000000000000004</v>
      </c>
      <c r="G8">
        <f t="shared" si="0"/>
        <v>0.30000000000000004</v>
      </c>
      <c r="H8">
        <f t="shared" si="1"/>
        <v>0</v>
      </c>
      <c r="I8">
        <f t="shared" si="2"/>
        <v>1</v>
      </c>
      <c r="J8">
        <f t="shared" si="3"/>
        <v>0.30000000000000004</v>
      </c>
      <c r="K8">
        <f t="shared" si="4"/>
        <v>0.4</v>
      </c>
      <c r="L8">
        <v>0</v>
      </c>
      <c r="M8">
        <v>0.1</v>
      </c>
      <c r="N8" s="15">
        <v>0.5</v>
      </c>
    </row>
    <row r="9" spans="1:14" x14ac:dyDescent="0.3">
      <c r="A9" s="28"/>
      <c r="B9">
        <v>1</v>
      </c>
      <c r="C9">
        <v>0</v>
      </c>
      <c r="D9">
        <v>1</v>
      </c>
      <c r="E9">
        <f t="shared" si="5"/>
        <v>0.30000000000000004</v>
      </c>
      <c r="F9">
        <f t="shared" si="5"/>
        <v>0.4</v>
      </c>
      <c r="G9">
        <f t="shared" si="0"/>
        <v>0.30000000000000004</v>
      </c>
      <c r="H9">
        <f t="shared" si="1"/>
        <v>0</v>
      </c>
      <c r="I9">
        <f t="shared" si="2"/>
        <v>1</v>
      </c>
      <c r="J9">
        <f t="shared" si="3"/>
        <v>0.4</v>
      </c>
      <c r="K9">
        <f t="shared" si="4"/>
        <v>0.4</v>
      </c>
      <c r="L9">
        <v>0</v>
      </c>
      <c r="M9">
        <v>0.1</v>
      </c>
      <c r="N9" s="15">
        <v>0.5</v>
      </c>
    </row>
    <row r="10" spans="1:14" x14ac:dyDescent="0.3">
      <c r="A10" s="31"/>
      <c r="B10">
        <v>1</v>
      </c>
      <c r="C10">
        <v>1</v>
      </c>
      <c r="D10">
        <v>1</v>
      </c>
      <c r="E10">
        <f t="shared" si="5"/>
        <v>0.4</v>
      </c>
      <c r="F10">
        <f t="shared" si="5"/>
        <v>0.4</v>
      </c>
      <c r="G10">
        <f t="shared" si="0"/>
        <v>0.8</v>
      </c>
      <c r="H10">
        <f t="shared" si="1"/>
        <v>1</v>
      </c>
      <c r="I10">
        <f t="shared" si="2"/>
        <v>0</v>
      </c>
      <c r="J10">
        <f t="shared" si="3"/>
        <v>0.4</v>
      </c>
      <c r="K10">
        <f t="shared" si="4"/>
        <v>0.4</v>
      </c>
      <c r="L10">
        <v>0</v>
      </c>
      <c r="M10">
        <v>0.1</v>
      </c>
      <c r="N10" s="15">
        <v>0.5</v>
      </c>
    </row>
    <row r="11" spans="1:14" x14ac:dyDescent="0.3">
      <c r="A11" s="27">
        <v>3</v>
      </c>
      <c r="B11" s="1">
        <v>0</v>
      </c>
      <c r="C11" s="1">
        <v>0</v>
      </c>
      <c r="D11" s="1">
        <v>0</v>
      </c>
      <c r="E11" s="1">
        <f t="shared" si="5"/>
        <v>0.4</v>
      </c>
      <c r="F11" s="1">
        <f t="shared" si="5"/>
        <v>0.4</v>
      </c>
      <c r="G11" s="1">
        <f t="shared" si="0"/>
        <v>0</v>
      </c>
      <c r="H11" s="1">
        <f t="shared" si="1"/>
        <v>0</v>
      </c>
      <c r="I11" s="1">
        <f t="shared" si="2"/>
        <v>0</v>
      </c>
      <c r="J11" s="1">
        <f t="shared" si="3"/>
        <v>0.4</v>
      </c>
      <c r="K11" s="1">
        <f t="shared" si="4"/>
        <v>0.4</v>
      </c>
      <c r="L11" s="1">
        <v>0</v>
      </c>
      <c r="M11" s="1">
        <v>0.1</v>
      </c>
      <c r="N11" s="14">
        <v>0.5</v>
      </c>
    </row>
    <row r="12" spans="1:14" x14ac:dyDescent="0.3">
      <c r="A12" s="28"/>
      <c r="B12">
        <v>0</v>
      </c>
      <c r="C12">
        <v>1</v>
      </c>
      <c r="D12">
        <v>1</v>
      </c>
      <c r="E12">
        <f t="shared" si="5"/>
        <v>0.4</v>
      </c>
      <c r="F12">
        <f t="shared" si="5"/>
        <v>0.4</v>
      </c>
      <c r="G12">
        <f t="shared" si="0"/>
        <v>0.4</v>
      </c>
      <c r="H12">
        <f t="shared" si="1"/>
        <v>0</v>
      </c>
      <c r="I12">
        <f t="shared" si="2"/>
        <v>1</v>
      </c>
      <c r="J12">
        <f t="shared" si="3"/>
        <v>0.4</v>
      </c>
      <c r="K12">
        <f t="shared" si="4"/>
        <v>0.5</v>
      </c>
      <c r="L12">
        <v>0</v>
      </c>
      <c r="M12">
        <v>0.1</v>
      </c>
      <c r="N12" s="15">
        <v>0.5</v>
      </c>
    </row>
    <row r="13" spans="1:14" x14ac:dyDescent="0.3">
      <c r="A13" s="28"/>
      <c r="B13">
        <v>1</v>
      </c>
      <c r="C13">
        <v>0</v>
      </c>
      <c r="D13">
        <v>1</v>
      </c>
      <c r="E13">
        <f t="shared" si="5"/>
        <v>0.4</v>
      </c>
      <c r="F13">
        <f t="shared" si="5"/>
        <v>0.5</v>
      </c>
      <c r="G13">
        <f t="shared" si="0"/>
        <v>0.4</v>
      </c>
      <c r="H13">
        <f t="shared" si="1"/>
        <v>0</v>
      </c>
      <c r="I13">
        <f t="shared" si="2"/>
        <v>1</v>
      </c>
      <c r="J13">
        <f t="shared" si="3"/>
        <v>0.5</v>
      </c>
      <c r="K13">
        <f t="shared" si="4"/>
        <v>0.5</v>
      </c>
      <c r="L13">
        <v>0</v>
      </c>
      <c r="M13">
        <v>0.1</v>
      </c>
      <c r="N13" s="15">
        <v>0.5</v>
      </c>
    </row>
    <row r="14" spans="1:14" x14ac:dyDescent="0.3">
      <c r="A14" s="31"/>
      <c r="B14">
        <v>1</v>
      </c>
      <c r="C14">
        <v>1</v>
      </c>
      <c r="D14">
        <v>1</v>
      </c>
      <c r="E14">
        <f t="shared" si="5"/>
        <v>0.5</v>
      </c>
      <c r="F14">
        <f t="shared" si="5"/>
        <v>0.5</v>
      </c>
      <c r="G14">
        <f t="shared" si="0"/>
        <v>1</v>
      </c>
      <c r="H14">
        <f t="shared" si="1"/>
        <v>1</v>
      </c>
      <c r="I14">
        <f t="shared" si="2"/>
        <v>0</v>
      </c>
      <c r="J14">
        <f t="shared" si="3"/>
        <v>0.5</v>
      </c>
      <c r="K14">
        <f t="shared" si="4"/>
        <v>0.5</v>
      </c>
      <c r="L14">
        <v>0</v>
      </c>
      <c r="M14">
        <v>0.1</v>
      </c>
      <c r="N14" s="15">
        <v>0.5</v>
      </c>
    </row>
    <row r="15" spans="1:14" x14ac:dyDescent="0.3">
      <c r="A15" s="27">
        <v>4</v>
      </c>
      <c r="B15" s="1">
        <v>0</v>
      </c>
      <c r="C15" s="1">
        <v>0</v>
      </c>
      <c r="D15" s="1">
        <v>0</v>
      </c>
      <c r="E15" s="1">
        <f t="shared" si="5"/>
        <v>0.5</v>
      </c>
      <c r="F15" s="1">
        <f t="shared" si="5"/>
        <v>0.5</v>
      </c>
      <c r="G15" s="1">
        <f t="shared" si="0"/>
        <v>0</v>
      </c>
      <c r="H15" s="1">
        <f t="shared" si="1"/>
        <v>0</v>
      </c>
      <c r="I15" s="1">
        <f t="shared" si="2"/>
        <v>0</v>
      </c>
      <c r="J15" s="1">
        <f t="shared" si="3"/>
        <v>0.5</v>
      </c>
      <c r="K15" s="1">
        <f t="shared" si="4"/>
        <v>0.5</v>
      </c>
      <c r="L15" s="1">
        <v>0</v>
      </c>
      <c r="M15" s="1">
        <v>0.1</v>
      </c>
      <c r="N15" s="14">
        <v>0.5</v>
      </c>
    </row>
    <row r="16" spans="1:14" x14ac:dyDescent="0.3">
      <c r="A16" s="28"/>
      <c r="B16">
        <v>0</v>
      </c>
      <c r="C16">
        <v>1</v>
      </c>
      <c r="D16">
        <v>1</v>
      </c>
      <c r="E16">
        <f t="shared" si="5"/>
        <v>0.5</v>
      </c>
      <c r="F16">
        <f t="shared" si="5"/>
        <v>0.5</v>
      </c>
      <c r="G16">
        <f t="shared" si="0"/>
        <v>0.5</v>
      </c>
      <c r="H16">
        <f t="shared" si="1"/>
        <v>0</v>
      </c>
      <c r="I16">
        <f t="shared" si="2"/>
        <v>1</v>
      </c>
      <c r="J16">
        <f t="shared" si="3"/>
        <v>0.5</v>
      </c>
      <c r="K16">
        <f t="shared" si="4"/>
        <v>0.6</v>
      </c>
      <c r="L16">
        <v>0</v>
      </c>
      <c r="M16">
        <v>0.1</v>
      </c>
      <c r="N16" s="15">
        <v>0.5</v>
      </c>
    </row>
    <row r="17" spans="1:14" x14ac:dyDescent="0.3">
      <c r="A17" s="28"/>
      <c r="B17">
        <v>1</v>
      </c>
      <c r="C17">
        <v>0</v>
      </c>
      <c r="D17">
        <v>1</v>
      </c>
      <c r="E17">
        <f t="shared" si="5"/>
        <v>0.5</v>
      </c>
      <c r="F17">
        <f t="shared" si="5"/>
        <v>0.6</v>
      </c>
      <c r="G17">
        <f t="shared" si="0"/>
        <v>0.5</v>
      </c>
      <c r="H17">
        <f t="shared" si="1"/>
        <v>0</v>
      </c>
      <c r="I17">
        <f t="shared" si="2"/>
        <v>1</v>
      </c>
      <c r="J17">
        <f t="shared" si="3"/>
        <v>0.6</v>
      </c>
      <c r="K17">
        <f t="shared" si="4"/>
        <v>0.6</v>
      </c>
      <c r="L17">
        <v>0</v>
      </c>
      <c r="M17">
        <v>0.1</v>
      </c>
      <c r="N17" s="15">
        <v>0.5</v>
      </c>
    </row>
    <row r="18" spans="1:14" x14ac:dyDescent="0.3">
      <c r="A18" s="31"/>
      <c r="B18">
        <v>1</v>
      </c>
      <c r="C18">
        <v>1</v>
      </c>
      <c r="D18">
        <v>1</v>
      </c>
      <c r="E18">
        <f t="shared" si="5"/>
        <v>0.6</v>
      </c>
      <c r="F18">
        <f t="shared" si="5"/>
        <v>0.6</v>
      </c>
      <c r="G18">
        <f t="shared" si="0"/>
        <v>1.2</v>
      </c>
      <c r="H18">
        <f t="shared" si="1"/>
        <v>1</v>
      </c>
      <c r="I18">
        <f t="shared" si="2"/>
        <v>0</v>
      </c>
      <c r="J18">
        <f t="shared" si="3"/>
        <v>0.6</v>
      </c>
      <c r="K18">
        <f t="shared" si="4"/>
        <v>0.6</v>
      </c>
      <c r="L18">
        <v>0</v>
      </c>
      <c r="M18">
        <v>0.1</v>
      </c>
      <c r="N18" s="15">
        <v>0.5</v>
      </c>
    </row>
    <row r="19" spans="1:14" x14ac:dyDescent="0.3">
      <c r="A19" s="27">
        <v>5</v>
      </c>
      <c r="B19" s="1">
        <v>0</v>
      </c>
      <c r="C19" s="1">
        <v>0</v>
      </c>
      <c r="D19" s="1">
        <v>0</v>
      </c>
      <c r="E19" s="1">
        <f t="shared" si="5"/>
        <v>0.6</v>
      </c>
      <c r="F19" s="1">
        <f t="shared" si="5"/>
        <v>0.6</v>
      </c>
      <c r="G19" s="1">
        <f t="shared" si="0"/>
        <v>0</v>
      </c>
      <c r="H19" s="1">
        <f t="shared" si="1"/>
        <v>0</v>
      </c>
      <c r="I19" s="1">
        <f t="shared" si="2"/>
        <v>0</v>
      </c>
      <c r="J19" s="1">
        <f t="shared" si="3"/>
        <v>0.6</v>
      </c>
      <c r="K19" s="1">
        <f t="shared" si="4"/>
        <v>0.6</v>
      </c>
      <c r="L19" s="1">
        <v>0</v>
      </c>
      <c r="M19" s="1">
        <v>0.1</v>
      </c>
      <c r="N19" s="14">
        <v>0.5</v>
      </c>
    </row>
    <row r="20" spans="1:14" x14ac:dyDescent="0.3">
      <c r="A20" s="28"/>
      <c r="B20">
        <v>0</v>
      </c>
      <c r="C20">
        <v>1</v>
      </c>
      <c r="D20">
        <v>1</v>
      </c>
      <c r="E20">
        <f t="shared" si="5"/>
        <v>0.6</v>
      </c>
      <c r="F20">
        <f t="shared" si="5"/>
        <v>0.6</v>
      </c>
      <c r="G20">
        <f t="shared" si="0"/>
        <v>0.6</v>
      </c>
      <c r="H20">
        <f t="shared" si="1"/>
        <v>1</v>
      </c>
      <c r="I20">
        <f t="shared" si="2"/>
        <v>0</v>
      </c>
      <c r="J20">
        <f t="shared" si="3"/>
        <v>0.6</v>
      </c>
      <c r="K20">
        <f t="shared" si="4"/>
        <v>0.6</v>
      </c>
      <c r="L20">
        <v>0</v>
      </c>
      <c r="M20">
        <v>0.1</v>
      </c>
      <c r="N20" s="15">
        <v>0.5</v>
      </c>
    </row>
    <row r="21" spans="1:14" x14ac:dyDescent="0.3">
      <c r="A21" s="28"/>
      <c r="B21">
        <v>1</v>
      </c>
      <c r="C21">
        <v>0</v>
      </c>
      <c r="D21">
        <v>1</v>
      </c>
      <c r="E21">
        <f t="shared" ref="E21:F22" si="6">J20</f>
        <v>0.6</v>
      </c>
      <c r="F21">
        <f t="shared" si="6"/>
        <v>0.6</v>
      </c>
      <c r="G21">
        <f t="shared" si="0"/>
        <v>0.6</v>
      </c>
      <c r="H21">
        <f t="shared" si="1"/>
        <v>1</v>
      </c>
      <c r="I21">
        <f t="shared" si="2"/>
        <v>0</v>
      </c>
      <c r="J21">
        <f t="shared" si="3"/>
        <v>0.6</v>
      </c>
      <c r="K21">
        <f t="shared" si="4"/>
        <v>0.6</v>
      </c>
      <c r="L21">
        <v>0</v>
      </c>
      <c r="M21">
        <v>0.1</v>
      </c>
      <c r="N21" s="15">
        <v>0.5</v>
      </c>
    </row>
    <row r="22" spans="1:14" ht="15" thickBot="1" x14ac:dyDescent="0.35">
      <c r="A22" s="29"/>
      <c r="B22" s="16">
        <v>1</v>
      </c>
      <c r="C22" s="16">
        <v>1</v>
      </c>
      <c r="D22" s="16">
        <v>1</v>
      </c>
      <c r="E22" s="16">
        <f t="shared" si="6"/>
        <v>0.6</v>
      </c>
      <c r="F22" s="16">
        <f t="shared" si="6"/>
        <v>0.6</v>
      </c>
      <c r="G22" s="16">
        <f t="shared" si="0"/>
        <v>1.2</v>
      </c>
      <c r="H22" s="16">
        <f t="shared" si="1"/>
        <v>1</v>
      </c>
      <c r="I22" s="16">
        <f t="shared" si="2"/>
        <v>0</v>
      </c>
      <c r="J22" s="16">
        <f t="shared" si="3"/>
        <v>0.6</v>
      </c>
      <c r="K22" s="16">
        <f t="shared" si="4"/>
        <v>0.6</v>
      </c>
      <c r="L22" s="16">
        <v>0</v>
      </c>
      <c r="M22" s="16">
        <v>0.1</v>
      </c>
      <c r="N22" s="17">
        <v>0.5</v>
      </c>
    </row>
    <row r="24" spans="1:14" ht="21" x14ac:dyDescent="0.4">
      <c r="A24" s="30" t="s">
        <v>15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1:14" x14ac:dyDescent="0.3">
      <c r="A25" s="7" t="s">
        <v>11</v>
      </c>
      <c r="B25" s="6" t="s">
        <v>0</v>
      </c>
      <c r="C25" s="6" t="s">
        <v>1</v>
      </c>
      <c r="D25" s="8" t="s">
        <v>12</v>
      </c>
      <c r="E25" s="6" t="s">
        <v>2</v>
      </c>
      <c r="F25" s="6" t="s">
        <v>3</v>
      </c>
      <c r="G25" s="6" t="s">
        <v>9</v>
      </c>
      <c r="H25" s="8" t="s">
        <v>13</v>
      </c>
      <c r="I25" s="6" t="s">
        <v>10</v>
      </c>
      <c r="J25" s="6" t="s">
        <v>4</v>
      </c>
      <c r="K25" s="6" t="s">
        <v>5</v>
      </c>
      <c r="L25" s="6" t="s">
        <v>6</v>
      </c>
      <c r="M25" s="6" t="s">
        <v>7</v>
      </c>
      <c r="N25" s="6" t="s">
        <v>8</v>
      </c>
    </row>
    <row r="26" spans="1:14" x14ac:dyDescent="0.3">
      <c r="A26" s="18">
        <v>1</v>
      </c>
      <c r="B26" s="1">
        <v>0</v>
      </c>
      <c r="C26" s="1">
        <v>0</v>
      </c>
      <c r="D26" s="1">
        <v>1</v>
      </c>
      <c r="E26" s="1">
        <v>0.1</v>
      </c>
      <c r="F26" s="1">
        <v>0.1</v>
      </c>
      <c r="G26" s="1">
        <f>B26*E26+C26*F26+L26</f>
        <v>1</v>
      </c>
      <c r="H26" s="1">
        <f>IF(G26&gt;N26, 1, 0)</f>
        <v>1</v>
      </c>
      <c r="I26" s="1">
        <f>D26-H26</f>
        <v>0</v>
      </c>
      <c r="J26" s="1">
        <f>E26+M26*I26*B26</f>
        <v>0.1</v>
      </c>
      <c r="K26" s="1">
        <f>F26+M26*I26*C26</f>
        <v>0.1</v>
      </c>
      <c r="L26" s="1">
        <v>1</v>
      </c>
      <c r="M26" s="1">
        <v>0.1</v>
      </c>
      <c r="N26" s="2">
        <v>0.5</v>
      </c>
    </row>
    <row r="27" spans="1:14" x14ac:dyDescent="0.3">
      <c r="A27" s="19"/>
      <c r="B27">
        <v>0</v>
      </c>
      <c r="C27">
        <v>1</v>
      </c>
      <c r="D27">
        <v>1</v>
      </c>
      <c r="E27">
        <f>J26</f>
        <v>0.1</v>
      </c>
      <c r="F27">
        <f>K26</f>
        <v>0.1</v>
      </c>
      <c r="G27">
        <f>B27*E27+C27*F27+L27</f>
        <v>1.1000000000000001</v>
      </c>
      <c r="H27">
        <f>IF(G27&gt;N27, 1, 0)</f>
        <v>1</v>
      </c>
      <c r="I27">
        <f>D27-H27</f>
        <v>0</v>
      </c>
      <c r="J27">
        <f>E27+M27*I27*B27</f>
        <v>0.1</v>
      </c>
      <c r="K27">
        <f>F27+M27*I27*C27</f>
        <v>0.1</v>
      </c>
      <c r="L27">
        <v>1</v>
      </c>
      <c r="M27">
        <v>0.1</v>
      </c>
      <c r="N27" s="3">
        <v>0.5</v>
      </c>
    </row>
    <row r="28" spans="1:14" x14ac:dyDescent="0.3">
      <c r="A28" s="19"/>
      <c r="B28">
        <v>1</v>
      </c>
      <c r="C28">
        <v>0</v>
      </c>
      <c r="D28">
        <v>1</v>
      </c>
      <c r="E28">
        <f t="shared" ref="E28:F43" si="7">J27</f>
        <v>0.1</v>
      </c>
      <c r="F28">
        <f t="shared" si="7"/>
        <v>0.1</v>
      </c>
      <c r="G28">
        <f t="shared" ref="G28:G45" si="8">B28*E28+C28*F28+L28</f>
        <v>1.1000000000000001</v>
      </c>
      <c r="H28">
        <f t="shared" ref="H28:H45" si="9">IF(G28&gt;N28, 1, 0)</f>
        <v>1</v>
      </c>
      <c r="I28">
        <f t="shared" ref="I28:I45" si="10">D28-H28</f>
        <v>0</v>
      </c>
      <c r="J28">
        <f t="shared" ref="J28:J45" si="11">E28+M28*I28*B28</f>
        <v>0.1</v>
      </c>
      <c r="K28">
        <f t="shared" ref="K28:K45" si="12">F28+M28*I28*C28</f>
        <v>0.1</v>
      </c>
      <c r="L28">
        <v>1</v>
      </c>
      <c r="M28">
        <v>0.1</v>
      </c>
      <c r="N28" s="3">
        <v>0.5</v>
      </c>
    </row>
    <row r="29" spans="1:14" x14ac:dyDescent="0.3">
      <c r="A29" s="20"/>
      <c r="B29" s="4">
        <v>1</v>
      </c>
      <c r="C29" s="4">
        <v>1</v>
      </c>
      <c r="D29" s="4">
        <v>0</v>
      </c>
      <c r="E29" s="4">
        <f t="shared" si="7"/>
        <v>0.1</v>
      </c>
      <c r="F29" s="4">
        <f t="shared" si="7"/>
        <v>0.1</v>
      </c>
      <c r="G29" s="4">
        <f t="shared" si="8"/>
        <v>1.2</v>
      </c>
      <c r="H29" s="4">
        <f t="shared" si="9"/>
        <v>1</v>
      </c>
      <c r="I29" s="4">
        <f t="shared" si="10"/>
        <v>-1</v>
      </c>
      <c r="J29" s="4">
        <f t="shared" si="11"/>
        <v>0</v>
      </c>
      <c r="K29" s="4">
        <f t="shared" si="12"/>
        <v>0</v>
      </c>
      <c r="L29" s="4">
        <v>1</v>
      </c>
      <c r="M29" s="4">
        <v>0.1</v>
      </c>
      <c r="N29" s="5">
        <v>0.5</v>
      </c>
    </row>
    <row r="30" spans="1:14" x14ac:dyDescent="0.3">
      <c r="A30" s="18">
        <v>2</v>
      </c>
      <c r="B30" s="1">
        <v>0</v>
      </c>
      <c r="C30" s="1">
        <v>0</v>
      </c>
      <c r="D30" s="1">
        <v>1</v>
      </c>
      <c r="E30" s="1">
        <f t="shared" si="7"/>
        <v>0</v>
      </c>
      <c r="F30" s="1">
        <f t="shared" si="7"/>
        <v>0</v>
      </c>
      <c r="G30" s="1">
        <f t="shared" si="8"/>
        <v>1</v>
      </c>
      <c r="H30" s="1">
        <f t="shared" si="9"/>
        <v>1</v>
      </c>
      <c r="I30" s="1">
        <f t="shared" si="10"/>
        <v>0</v>
      </c>
      <c r="J30" s="1">
        <f t="shared" si="11"/>
        <v>0</v>
      </c>
      <c r="K30" s="1">
        <f t="shared" si="12"/>
        <v>0</v>
      </c>
      <c r="L30" s="1">
        <v>1</v>
      </c>
      <c r="M30" s="1">
        <v>0.1</v>
      </c>
      <c r="N30" s="2">
        <v>0.5</v>
      </c>
    </row>
    <row r="31" spans="1:14" x14ac:dyDescent="0.3">
      <c r="A31" s="19"/>
      <c r="B31">
        <v>0</v>
      </c>
      <c r="C31">
        <v>1</v>
      </c>
      <c r="D31">
        <v>1</v>
      </c>
      <c r="E31">
        <f t="shared" si="7"/>
        <v>0</v>
      </c>
      <c r="F31">
        <f t="shared" si="7"/>
        <v>0</v>
      </c>
      <c r="G31">
        <f t="shared" si="8"/>
        <v>1</v>
      </c>
      <c r="H31">
        <f t="shared" si="9"/>
        <v>1</v>
      </c>
      <c r="I31">
        <f t="shared" si="10"/>
        <v>0</v>
      </c>
      <c r="J31">
        <f t="shared" si="11"/>
        <v>0</v>
      </c>
      <c r="K31">
        <f t="shared" si="12"/>
        <v>0</v>
      </c>
      <c r="L31">
        <v>1</v>
      </c>
      <c r="M31">
        <v>0.1</v>
      </c>
      <c r="N31" s="3">
        <v>0.5</v>
      </c>
    </row>
    <row r="32" spans="1:14" x14ac:dyDescent="0.3">
      <c r="A32" s="19"/>
      <c r="B32">
        <v>1</v>
      </c>
      <c r="C32">
        <v>0</v>
      </c>
      <c r="D32">
        <v>1</v>
      </c>
      <c r="E32">
        <f t="shared" si="7"/>
        <v>0</v>
      </c>
      <c r="F32">
        <f t="shared" si="7"/>
        <v>0</v>
      </c>
      <c r="G32">
        <f t="shared" si="8"/>
        <v>1</v>
      </c>
      <c r="H32">
        <f t="shared" si="9"/>
        <v>1</v>
      </c>
      <c r="I32">
        <f t="shared" si="10"/>
        <v>0</v>
      </c>
      <c r="J32">
        <f t="shared" si="11"/>
        <v>0</v>
      </c>
      <c r="K32">
        <f t="shared" si="12"/>
        <v>0</v>
      </c>
      <c r="L32">
        <v>1</v>
      </c>
      <c r="M32">
        <v>0.1</v>
      </c>
      <c r="N32" s="3">
        <v>0.5</v>
      </c>
    </row>
    <row r="33" spans="1:14" x14ac:dyDescent="0.3">
      <c r="A33" s="20"/>
      <c r="B33" s="4">
        <v>1</v>
      </c>
      <c r="C33" s="4">
        <v>1</v>
      </c>
      <c r="D33" s="4">
        <v>0</v>
      </c>
      <c r="E33" s="4">
        <f t="shared" si="7"/>
        <v>0</v>
      </c>
      <c r="F33" s="4">
        <f t="shared" si="7"/>
        <v>0</v>
      </c>
      <c r="G33" s="4">
        <f t="shared" si="8"/>
        <v>1</v>
      </c>
      <c r="H33" s="4">
        <f t="shared" si="9"/>
        <v>1</v>
      </c>
      <c r="I33" s="4">
        <f t="shared" si="10"/>
        <v>-1</v>
      </c>
      <c r="J33" s="4">
        <f t="shared" si="11"/>
        <v>-0.1</v>
      </c>
      <c r="K33" s="4">
        <f t="shared" si="12"/>
        <v>-0.1</v>
      </c>
      <c r="L33" s="4">
        <v>1</v>
      </c>
      <c r="M33" s="4">
        <v>0.1</v>
      </c>
      <c r="N33" s="5">
        <v>0.5</v>
      </c>
    </row>
    <row r="34" spans="1:14" x14ac:dyDescent="0.3">
      <c r="A34" s="18">
        <v>3</v>
      </c>
      <c r="B34" s="1">
        <v>0</v>
      </c>
      <c r="C34" s="1">
        <v>0</v>
      </c>
      <c r="D34" s="1">
        <v>1</v>
      </c>
      <c r="E34" s="1">
        <f t="shared" si="7"/>
        <v>-0.1</v>
      </c>
      <c r="F34" s="1">
        <f t="shared" si="7"/>
        <v>-0.1</v>
      </c>
      <c r="G34" s="1">
        <f t="shared" si="8"/>
        <v>1</v>
      </c>
      <c r="H34" s="1">
        <f t="shared" si="9"/>
        <v>1</v>
      </c>
      <c r="I34" s="1">
        <f t="shared" si="10"/>
        <v>0</v>
      </c>
      <c r="J34" s="1">
        <f t="shared" si="11"/>
        <v>-0.1</v>
      </c>
      <c r="K34" s="1">
        <f t="shared" si="12"/>
        <v>-0.1</v>
      </c>
      <c r="L34" s="1">
        <v>1</v>
      </c>
      <c r="M34" s="1">
        <v>0.1</v>
      </c>
      <c r="N34" s="2">
        <v>0.5</v>
      </c>
    </row>
    <row r="35" spans="1:14" x14ac:dyDescent="0.3">
      <c r="A35" s="19"/>
      <c r="B35">
        <v>0</v>
      </c>
      <c r="C35">
        <v>1</v>
      </c>
      <c r="D35">
        <v>1</v>
      </c>
      <c r="E35">
        <f t="shared" si="7"/>
        <v>-0.1</v>
      </c>
      <c r="F35">
        <f t="shared" si="7"/>
        <v>-0.1</v>
      </c>
      <c r="G35">
        <f t="shared" si="8"/>
        <v>0.9</v>
      </c>
      <c r="H35">
        <f t="shared" si="9"/>
        <v>1</v>
      </c>
      <c r="I35">
        <f t="shared" si="10"/>
        <v>0</v>
      </c>
      <c r="J35">
        <f t="shared" si="11"/>
        <v>-0.1</v>
      </c>
      <c r="K35">
        <f t="shared" si="12"/>
        <v>-0.1</v>
      </c>
      <c r="L35">
        <v>1</v>
      </c>
      <c r="M35">
        <v>0.1</v>
      </c>
      <c r="N35" s="3">
        <v>0.5</v>
      </c>
    </row>
    <row r="36" spans="1:14" x14ac:dyDescent="0.3">
      <c r="A36" s="19"/>
      <c r="B36">
        <v>1</v>
      </c>
      <c r="C36">
        <v>0</v>
      </c>
      <c r="D36">
        <v>1</v>
      </c>
      <c r="E36">
        <f t="shared" si="7"/>
        <v>-0.1</v>
      </c>
      <c r="F36">
        <f t="shared" si="7"/>
        <v>-0.1</v>
      </c>
      <c r="G36">
        <f t="shared" si="8"/>
        <v>0.9</v>
      </c>
      <c r="H36">
        <f t="shared" si="9"/>
        <v>1</v>
      </c>
      <c r="I36">
        <f t="shared" si="10"/>
        <v>0</v>
      </c>
      <c r="J36">
        <f t="shared" si="11"/>
        <v>-0.1</v>
      </c>
      <c r="K36">
        <f t="shared" si="12"/>
        <v>-0.1</v>
      </c>
      <c r="L36">
        <v>1</v>
      </c>
      <c r="M36">
        <v>0.1</v>
      </c>
      <c r="N36" s="3">
        <v>0.5</v>
      </c>
    </row>
    <row r="37" spans="1:14" x14ac:dyDescent="0.3">
      <c r="A37" s="20"/>
      <c r="B37" s="4">
        <v>1</v>
      </c>
      <c r="C37" s="4">
        <v>1</v>
      </c>
      <c r="D37" s="4">
        <v>0</v>
      </c>
      <c r="E37" s="4">
        <f t="shared" si="7"/>
        <v>-0.1</v>
      </c>
      <c r="F37" s="4">
        <f t="shared" si="7"/>
        <v>-0.1</v>
      </c>
      <c r="G37" s="4">
        <f t="shared" si="8"/>
        <v>0.8</v>
      </c>
      <c r="H37" s="4">
        <f t="shared" si="9"/>
        <v>1</v>
      </c>
      <c r="I37" s="4">
        <f t="shared" si="10"/>
        <v>-1</v>
      </c>
      <c r="J37" s="4">
        <f t="shared" si="11"/>
        <v>-0.2</v>
      </c>
      <c r="K37" s="4">
        <f t="shared" si="12"/>
        <v>-0.2</v>
      </c>
      <c r="L37" s="4">
        <v>1</v>
      </c>
      <c r="M37" s="4">
        <v>0.1</v>
      </c>
      <c r="N37" s="5">
        <v>0.5</v>
      </c>
    </row>
    <row r="38" spans="1:14" x14ac:dyDescent="0.3">
      <c r="A38" s="18">
        <v>4</v>
      </c>
      <c r="B38" s="1">
        <v>0</v>
      </c>
      <c r="C38" s="1">
        <v>0</v>
      </c>
      <c r="D38" s="1">
        <v>1</v>
      </c>
      <c r="E38" s="1">
        <f t="shared" si="7"/>
        <v>-0.2</v>
      </c>
      <c r="F38" s="1">
        <f t="shared" si="7"/>
        <v>-0.2</v>
      </c>
      <c r="G38" s="1">
        <f t="shared" si="8"/>
        <v>1</v>
      </c>
      <c r="H38" s="1">
        <f t="shared" si="9"/>
        <v>1</v>
      </c>
      <c r="I38" s="1">
        <f t="shared" si="10"/>
        <v>0</v>
      </c>
      <c r="J38" s="1">
        <f t="shared" si="11"/>
        <v>-0.2</v>
      </c>
      <c r="K38" s="1">
        <f t="shared" si="12"/>
        <v>-0.2</v>
      </c>
      <c r="L38" s="1">
        <v>1</v>
      </c>
      <c r="M38" s="1">
        <v>0.1</v>
      </c>
      <c r="N38" s="2">
        <v>0.5</v>
      </c>
    </row>
    <row r="39" spans="1:14" x14ac:dyDescent="0.3">
      <c r="A39" s="19"/>
      <c r="B39">
        <v>0</v>
      </c>
      <c r="C39">
        <v>1</v>
      </c>
      <c r="D39">
        <v>1</v>
      </c>
      <c r="E39">
        <f t="shared" si="7"/>
        <v>-0.2</v>
      </c>
      <c r="F39">
        <f t="shared" si="7"/>
        <v>-0.2</v>
      </c>
      <c r="G39">
        <f t="shared" si="8"/>
        <v>0.8</v>
      </c>
      <c r="H39">
        <f t="shared" si="9"/>
        <v>1</v>
      </c>
      <c r="I39">
        <f t="shared" si="10"/>
        <v>0</v>
      </c>
      <c r="J39">
        <f t="shared" si="11"/>
        <v>-0.2</v>
      </c>
      <c r="K39">
        <f t="shared" si="12"/>
        <v>-0.2</v>
      </c>
      <c r="L39">
        <v>1</v>
      </c>
      <c r="M39">
        <v>0.1</v>
      </c>
      <c r="N39" s="3">
        <v>0.5</v>
      </c>
    </row>
    <row r="40" spans="1:14" x14ac:dyDescent="0.3">
      <c r="A40" s="19"/>
      <c r="B40">
        <v>1</v>
      </c>
      <c r="C40">
        <v>0</v>
      </c>
      <c r="D40">
        <v>1</v>
      </c>
      <c r="E40">
        <f t="shared" si="7"/>
        <v>-0.2</v>
      </c>
      <c r="F40">
        <f t="shared" si="7"/>
        <v>-0.2</v>
      </c>
      <c r="G40">
        <f t="shared" si="8"/>
        <v>0.8</v>
      </c>
      <c r="H40">
        <f t="shared" si="9"/>
        <v>1</v>
      </c>
      <c r="I40">
        <f t="shared" si="10"/>
        <v>0</v>
      </c>
      <c r="J40">
        <f t="shared" si="11"/>
        <v>-0.2</v>
      </c>
      <c r="K40">
        <f t="shared" si="12"/>
        <v>-0.2</v>
      </c>
      <c r="L40">
        <v>1</v>
      </c>
      <c r="M40">
        <v>0.1</v>
      </c>
      <c r="N40" s="3">
        <v>0.5</v>
      </c>
    </row>
    <row r="41" spans="1:14" x14ac:dyDescent="0.3">
      <c r="A41" s="20"/>
      <c r="B41" s="4">
        <v>1</v>
      </c>
      <c r="C41" s="4">
        <v>1</v>
      </c>
      <c r="D41" s="4">
        <v>0</v>
      </c>
      <c r="E41" s="4">
        <f t="shared" si="7"/>
        <v>-0.2</v>
      </c>
      <c r="F41" s="4">
        <f t="shared" si="7"/>
        <v>-0.2</v>
      </c>
      <c r="G41" s="4">
        <f t="shared" si="8"/>
        <v>0.6</v>
      </c>
      <c r="H41" s="4">
        <f t="shared" si="9"/>
        <v>1</v>
      </c>
      <c r="I41" s="4">
        <f t="shared" si="10"/>
        <v>-1</v>
      </c>
      <c r="J41" s="4">
        <f t="shared" si="11"/>
        <v>-0.30000000000000004</v>
      </c>
      <c r="K41" s="4">
        <f t="shared" si="12"/>
        <v>-0.30000000000000004</v>
      </c>
      <c r="L41" s="4">
        <v>1</v>
      </c>
      <c r="M41" s="4">
        <v>0.1</v>
      </c>
      <c r="N41" s="5">
        <v>0.5</v>
      </c>
    </row>
    <row r="42" spans="1:14" x14ac:dyDescent="0.3">
      <c r="A42" s="18">
        <v>5</v>
      </c>
      <c r="B42" s="1">
        <v>0</v>
      </c>
      <c r="C42" s="1">
        <v>0</v>
      </c>
      <c r="D42" s="1">
        <v>1</v>
      </c>
      <c r="E42" s="1">
        <f t="shared" si="7"/>
        <v>-0.30000000000000004</v>
      </c>
      <c r="F42" s="1">
        <f t="shared" si="7"/>
        <v>-0.30000000000000004</v>
      </c>
      <c r="G42" s="1">
        <f t="shared" si="8"/>
        <v>1</v>
      </c>
      <c r="H42" s="1">
        <f t="shared" si="9"/>
        <v>1</v>
      </c>
      <c r="I42" s="1">
        <f t="shared" si="10"/>
        <v>0</v>
      </c>
      <c r="J42" s="1">
        <f t="shared" si="11"/>
        <v>-0.30000000000000004</v>
      </c>
      <c r="K42" s="1">
        <f t="shared" si="12"/>
        <v>-0.30000000000000004</v>
      </c>
      <c r="L42" s="1">
        <v>1</v>
      </c>
      <c r="M42" s="1">
        <v>0.1</v>
      </c>
      <c r="N42" s="2">
        <v>0.5</v>
      </c>
    </row>
    <row r="43" spans="1:14" x14ac:dyDescent="0.3">
      <c r="A43" s="19"/>
      <c r="B43">
        <v>0</v>
      </c>
      <c r="C43">
        <v>1</v>
      </c>
      <c r="D43">
        <v>1</v>
      </c>
      <c r="E43">
        <f t="shared" si="7"/>
        <v>-0.30000000000000004</v>
      </c>
      <c r="F43">
        <f t="shared" si="7"/>
        <v>-0.30000000000000004</v>
      </c>
      <c r="G43">
        <f t="shared" si="8"/>
        <v>0.7</v>
      </c>
      <c r="H43">
        <f t="shared" si="9"/>
        <v>1</v>
      </c>
      <c r="I43">
        <f t="shared" si="10"/>
        <v>0</v>
      </c>
      <c r="J43">
        <f t="shared" si="11"/>
        <v>-0.30000000000000004</v>
      </c>
      <c r="K43">
        <f t="shared" si="12"/>
        <v>-0.30000000000000004</v>
      </c>
      <c r="L43">
        <v>1</v>
      </c>
      <c r="M43">
        <v>0.1</v>
      </c>
      <c r="N43" s="3">
        <v>0.5</v>
      </c>
    </row>
    <row r="44" spans="1:14" x14ac:dyDescent="0.3">
      <c r="A44" s="19"/>
      <c r="B44">
        <v>1</v>
      </c>
      <c r="C44">
        <v>0</v>
      </c>
      <c r="D44">
        <v>1</v>
      </c>
      <c r="E44">
        <f t="shared" ref="E44:F45" si="13">J43</f>
        <v>-0.30000000000000004</v>
      </c>
      <c r="F44">
        <f t="shared" si="13"/>
        <v>-0.30000000000000004</v>
      </c>
      <c r="G44">
        <f t="shared" si="8"/>
        <v>0.7</v>
      </c>
      <c r="H44">
        <f t="shared" si="9"/>
        <v>1</v>
      </c>
      <c r="I44">
        <f t="shared" si="10"/>
        <v>0</v>
      </c>
      <c r="J44">
        <f t="shared" si="11"/>
        <v>-0.30000000000000004</v>
      </c>
      <c r="K44">
        <f t="shared" si="12"/>
        <v>-0.30000000000000004</v>
      </c>
      <c r="L44">
        <v>1</v>
      </c>
      <c r="M44">
        <v>0.1</v>
      </c>
      <c r="N44" s="3">
        <v>0.5</v>
      </c>
    </row>
    <row r="45" spans="1:14" x14ac:dyDescent="0.3">
      <c r="A45" s="20"/>
      <c r="B45" s="4">
        <v>1</v>
      </c>
      <c r="C45" s="4">
        <v>1</v>
      </c>
      <c r="D45" s="4">
        <v>0</v>
      </c>
      <c r="E45" s="4">
        <f t="shared" si="13"/>
        <v>-0.30000000000000004</v>
      </c>
      <c r="F45" s="4">
        <f t="shared" si="13"/>
        <v>-0.30000000000000004</v>
      </c>
      <c r="G45" s="4">
        <f t="shared" si="8"/>
        <v>0.39999999999999991</v>
      </c>
      <c r="H45" s="4">
        <f t="shared" si="9"/>
        <v>0</v>
      </c>
      <c r="I45" s="4">
        <f t="shared" si="10"/>
        <v>0</v>
      </c>
      <c r="J45" s="4">
        <f t="shared" si="11"/>
        <v>-0.30000000000000004</v>
      </c>
      <c r="K45" s="4">
        <f t="shared" si="12"/>
        <v>-0.30000000000000004</v>
      </c>
      <c r="L45" s="4">
        <v>1</v>
      </c>
      <c r="M45" s="4">
        <v>0.1</v>
      </c>
      <c r="N45" s="5">
        <v>0.5</v>
      </c>
    </row>
    <row r="47" spans="1:14" ht="21" x14ac:dyDescent="0.4">
      <c r="A47" s="21" t="s">
        <v>16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</row>
    <row r="48" spans="1:14" x14ac:dyDescent="0.3">
      <c r="A48" s="12" t="s">
        <v>11</v>
      </c>
      <c r="B48" s="10" t="s">
        <v>0</v>
      </c>
      <c r="C48" s="10" t="s">
        <v>1</v>
      </c>
      <c r="D48" s="11" t="s">
        <v>12</v>
      </c>
      <c r="E48" s="10" t="s">
        <v>2</v>
      </c>
      <c r="F48" s="10" t="s">
        <v>3</v>
      </c>
      <c r="G48" s="10" t="s">
        <v>9</v>
      </c>
      <c r="H48" s="11" t="s">
        <v>13</v>
      </c>
      <c r="I48" s="10" t="s">
        <v>10</v>
      </c>
      <c r="J48" s="10" t="s">
        <v>4</v>
      </c>
      <c r="K48" s="10" t="s">
        <v>5</v>
      </c>
      <c r="L48" s="10" t="s">
        <v>6</v>
      </c>
      <c r="M48" s="10" t="s">
        <v>7</v>
      </c>
      <c r="N48" s="13" t="s">
        <v>8</v>
      </c>
    </row>
    <row r="49" spans="1:14" x14ac:dyDescent="0.3">
      <c r="A49" s="24">
        <v>1</v>
      </c>
      <c r="B49" s="1">
        <v>0</v>
      </c>
      <c r="C49" s="1">
        <v>1</v>
      </c>
      <c r="D49" s="1">
        <v>0</v>
      </c>
      <c r="E49" s="1">
        <v>0.1</v>
      </c>
      <c r="F49" s="1">
        <v>0.1</v>
      </c>
      <c r="G49" s="1">
        <f>B49*E49+C49*F49+L49</f>
        <v>0.1</v>
      </c>
      <c r="H49" s="1">
        <f>IF(G49&gt;N49, 1, 0)</f>
        <v>0</v>
      </c>
      <c r="I49" s="1">
        <f t="shared" ref="I49" si="14">D49-H49</f>
        <v>0</v>
      </c>
      <c r="J49" s="1">
        <f>E49+M49*I49*B49</f>
        <v>0.1</v>
      </c>
      <c r="K49" s="1">
        <f>F49+M49*I49*C49</f>
        <v>0.1</v>
      </c>
      <c r="L49" s="1">
        <v>0</v>
      </c>
      <c r="M49" s="1">
        <v>0.1</v>
      </c>
      <c r="N49" s="2">
        <v>0.5</v>
      </c>
    </row>
    <row r="50" spans="1:14" x14ac:dyDescent="0.3">
      <c r="A50" s="25"/>
      <c r="B50">
        <v>1</v>
      </c>
      <c r="C50">
        <v>1</v>
      </c>
      <c r="D50">
        <v>1</v>
      </c>
      <c r="E50">
        <f>J49</f>
        <v>0.1</v>
      </c>
      <c r="F50">
        <f>K49</f>
        <v>0.1</v>
      </c>
      <c r="G50">
        <f t="shared" ref="G50:G52" si="15">B50*E50+C50*F50+L50</f>
        <v>0.2</v>
      </c>
      <c r="H50">
        <f t="shared" ref="H50:H52" si="16">IF(G50&gt;N50, 1, 0)</f>
        <v>0</v>
      </c>
      <c r="I50">
        <f t="shared" ref="I50:I53" si="17">D50-H50</f>
        <v>1</v>
      </c>
      <c r="J50">
        <f t="shared" ref="J50:J52" si="18">E50+M50*I50*B50</f>
        <v>0.2</v>
      </c>
      <c r="K50">
        <f t="shared" ref="K50:K52" si="19">F50+M50*I50*C50</f>
        <v>0.2</v>
      </c>
      <c r="L50">
        <v>0</v>
      </c>
      <c r="M50">
        <v>0.1</v>
      </c>
      <c r="N50" s="3">
        <v>0.5</v>
      </c>
    </row>
    <row r="51" spans="1:14" x14ac:dyDescent="0.3">
      <c r="A51" s="25"/>
      <c r="B51">
        <v>1</v>
      </c>
      <c r="C51">
        <v>1</v>
      </c>
      <c r="D51">
        <v>1</v>
      </c>
      <c r="E51">
        <f t="shared" ref="E51:E56" si="20">J50</f>
        <v>0.2</v>
      </c>
      <c r="F51">
        <f t="shared" ref="F51:F56" si="21">K50</f>
        <v>0.2</v>
      </c>
      <c r="G51">
        <f t="shared" si="15"/>
        <v>0.4</v>
      </c>
      <c r="H51">
        <f t="shared" si="16"/>
        <v>0</v>
      </c>
      <c r="I51">
        <f t="shared" si="17"/>
        <v>1</v>
      </c>
      <c r="J51">
        <f t="shared" si="18"/>
        <v>0.30000000000000004</v>
      </c>
      <c r="K51">
        <f t="shared" si="19"/>
        <v>0.30000000000000004</v>
      </c>
      <c r="L51">
        <v>0</v>
      </c>
      <c r="M51">
        <v>0.1</v>
      </c>
      <c r="N51" s="3">
        <v>0.5</v>
      </c>
    </row>
    <row r="52" spans="1:14" x14ac:dyDescent="0.3">
      <c r="A52" s="26"/>
      <c r="B52" s="4">
        <v>1</v>
      </c>
      <c r="C52" s="4">
        <v>0</v>
      </c>
      <c r="D52" s="4">
        <v>0</v>
      </c>
      <c r="E52" s="4">
        <f t="shared" si="20"/>
        <v>0.30000000000000004</v>
      </c>
      <c r="F52" s="4">
        <f t="shared" si="21"/>
        <v>0.30000000000000004</v>
      </c>
      <c r="G52" s="4">
        <f t="shared" si="15"/>
        <v>0.30000000000000004</v>
      </c>
      <c r="H52" s="4">
        <f t="shared" si="16"/>
        <v>0</v>
      </c>
      <c r="I52" s="4">
        <f t="shared" si="17"/>
        <v>0</v>
      </c>
      <c r="J52" s="4">
        <f t="shared" si="18"/>
        <v>0.30000000000000004</v>
      </c>
      <c r="K52" s="4">
        <f t="shared" si="19"/>
        <v>0.30000000000000004</v>
      </c>
      <c r="L52" s="4">
        <v>0</v>
      </c>
      <c r="M52" s="4">
        <v>0.1</v>
      </c>
      <c r="N52" s="5">
        <v>0.5</v>
      </c>
    </row>
    <row r="53" spans="1:14" x14ac:dyDescent="0.3">
      <c r="A53" s="24">
        <v>2</v>
      </c>
      <c r="B53" s="1">
        <v>0</v>
      </c>
      <c r="C53" s="1">
        <v>0</v>
      </c>
      <c r="D53" s="1">
        <v>0</v>
      </c>
      <c r="E53" s="1">
        <f t="shared" si="20"/>
        <v>0.30000000000000004</v>
      </c>
      <c r="F53" s="1">
        <f t="shared" si="21"/>
        <v>0.30000000000000004</v>
      </c>
      <c r="G53" s="1">
        <f>B53*E53+C53*F53+L53</f>
        <v>0</v>
      </c>
      <c r="H53" s="1">
        <f>IF(G53&gt;N53, 1, 0)</f>
        <v>0</v>
      </c>
      <c r="I53" s="1">
        <f t="shared" si="17"/>
        <v>0</v>
      </c>
      <c r="J53" s="1">
        <f>E53+M53*I53*B53</f>
        <v>0.30000000000000004</v>
      </c>
      <c r="K53" s="1">
        <f>F53+M53*I53*C53</f>
        <v>0.30000000000000004</v>
      </c>
      <c r="L53" s="1">
        <v>0</v>
      </c>
      <c r="M53" s="1">
        <v>0.1</v>
      </c>
      <c r="N53" s="2">
        <v>0.5</v>
      </c>
    </row>
    <row r="54" spans="1:14" x14ac:dyDescent="0.3">
      <c r="A54" s="25"/>
      <c r="B54">
        <v>1</v>
      </c>
      <c r="C54">
        <v>1</v>
      </c>
      <c r="D54">
        <v>1</v>
      </c>
      <c r="E54">
        <f t="shared" si="20"/>
        <v>0.30000000000000004</v>
      </c>
      <c r="F54">
        <f t="shared" si="21"/>
        <v>0.30000000000000004</v>
      </c>
      <c r="G54">
        <f t="shared" ref="G54:G56" si="22">B54*E54+C54*F54+L54</f>
        <v>0.60000000000000009</v>
      </c>
      <c r="H54">
        <f t="shared" ref="H54:H56" si="23">IF(G54&gt;N54, 1, 0)</f>
        <v>1</v>
      </c>
      <c r="I54">
        <f t="shared" ref="I54:I56" si="24">D54-H54</f>
        <v>0</v>
      </c>
      <c r="J54">
        <f t="shared" ref="J54:J56" si="25">E54+M54*I54*B54</f>
        <v>0.30000000000000004</v>
      </c>
      <c r="K54">
        <f t="shared" ref="K54:K56" si="26">F54+M54*I54*C54</f>
        <v>0.30000000000000004</v>
      </c>
      <c r="L54">
        <v>0</v>
      </c>
      <c r="M54">
        <v>0.1</v>
      </c>
      <c r="N54" s="3">
        <v>0.5</v>
      </c>
    </row>
    <row r="55" spans="1:14" x14ac:dyDescent="0.3">
      <c r="A55" s="25"/>
      <c r="B55">
        <v>1</v>
      </c>
      <c r="C55">
        <v>1</v>
      </c>
      <c r="D55">
        <v>1</v>
      </c>
      <c r="E55">
        <f t="shared" si="20"/>
        <v>0.30000000000000004</v>
      </c>
      <c r="F55">
        <f t="shared" si="21"/>
        <v>0.30000000000000004</v>
      </c>
      <c r="G55">
        <f t="shared" si="22"/>
        <v>0.60000000000000009</v>
      </c>
      <c r="H55">
        <f t="shared" si="23"/>
        <v>1</v>
      </c>
      <c r="I55">
        <f t="shared" si="24"/>
        <v>0</v>
      </c>
      <c r="J55">
        <f t="shared" si="25"/>
        <v>0.30000000000000004</v>
      </c>
      <c r="K55">
        <f t="shared" si="26"/>
        <v>0.30000000000000004</v>
      </c>
      <c r="L55">
        <v>0</v>
      </c>
      <c r="M55">
        <v>0.1</v>
      </c>
      <c r="N55" s="3">
        <v>0.5</v>
      </c>
    </row>
    <row r="56" spans="1:14" x14ac:dyDescent="0.3">
      <c r="A56" s="26"/>
      <c r="B56" s="4">
        <v>1</v>
      </c>
      <c r="C56" s="4">
        <v>0</v>
      </c>
      <c r="D56" s="4">
        <v>0</v>
      </c>
      <c r="E56" s="4">
        <f t="shared" si="20"/>
        <v>0.30000000000000004</v>
      </c>
      <c r="F56" s="4">
        <f t="shared" si="21"/>
        <v>0.30000000000000004</v>
      </c>
      <c r="G56" s="4">
        <f t="shared" si="22"/>
        <v>0.30000000000000004</v>
      </c>
      <c r="H56" s="4">
        <f t="shared" si="23"/>
        <v>0</v>
      </c>
      <c r="I56" s="4">
        <f t="shared" si="24"/>
        <v>0</v>
      </c>
      <c r="J56" s="4">
        <f t="shared" si="25"/>
        <v>0.30000000000000004</v>
      </c>
      <c r="K56" s="4">
        <f t="shared" si="26"/>
        <v>0.30000000000000004</v>
      </c>
      <c r="L56" s="4">
        <v>0</v>
      </c>
      <c r="M56" s="4">
        <v>0.1</v>
      </c>
      <c r="N56" s="5">
        <v>0.5</v>
      </c>
    </row>
  </sheetData>
  <mergeCells count="15">
    <mergeCell ref="A3:A6"/>
    <mergeCell ref="A7:A10"/>
    <mergeCell ref="A11:A14"/>
    <mergeCell ref="A15:A18"/>
    <mergeCell ref="A1:N1"/>
    <mergeCell ref="A19:A22"/>
    <mergeCell ref="A24:N24"/>
    <mergeCell ref="A26:A29"/>
    <mergeCell ref="A30:A33"/>
    <mergeCell ref="A34:A37"/>
    <mergeCell ref="A38:A41"/>
    <mergeCell ref="A42:A45"/>
    <mergeCell ref="A47:N47"/>
    <mergeCell ref="A49:A52"/>
    <mergeCell ref="A53:A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06FD-CF80-4BFD-9A5F-12F356C68CAC}">
  <dimension ref="A1:N48"/>
  <sheetViews>
    <sheetView topLeftCell="A43" workbookViewId="0">
      <selection activeCell="H45" sqref="H45"/>
    </sheetView>
  </sheetViews>
  <sheetFormatPr defaultRowHeight="14.4" x14ac:dyDescent="0.3"/>
  <sheetData>
    <row r="1" spans="1:14" ht="21" x14ac:dyDescent="0.4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x14ac:dyDescent="0.3">
      <c r="A2" s="7" t="s">
        <v>11</v>
      </c>
      <c r="B2" s="6" t="s">
        <v>0</v>
      </c>
      <c r="C2" s="6" t="s">
        <v>1</v>
      </c>
      <c r="D2" s="8" t="s">
        <v>12</v>
      </c>
      <c r="E2" s="6" t="s">
        <v>2</v>
      </c>
      <c r="F2" s="6" t="s">
        <v>3</v>
      </c>
      <c r="G2" s="6" t="s">
        <v>9</v>
      </c>
      <c r="H2" s="8" t="s">
        <v>13</v>
      </c>
      <c r="I2" s="6" t="s">
        <v>10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</row>
    <row r="3" spans="1:14" x14ac:dyDescent="0.3">
      <c r="A3" s="18">
        <v>1</v>
      </c>
      <c r="B3" s="1">
        <v>0</v>
      </c>
      <c r="C3" s="1">
        <v>0</v>
      </c>
      <c r="D3" s="1">
        <v>0</v>
      </c>
      <c r="E3" s="1">
        <v>0.1</v>
      </c>
      <c r="F3" s="1">
        <v>0.1</v>
      </c>
      <c r="G3" s="1">
        <f>B3*E3+C3*F3+L3</f>
        <v>0</v>
      </c>
      <c r="H3" s="1">
        <f>IF(G3&gt;N3, 1, 0)</f>
        <v>0</v>
      </c>
      <c r="I3" s="1">
        <f>D3-H3</f>
        <v>0</v>
      </c>
      <c r="J3" s="1">
        <f>E3+M3*I3*B3</f>
        <v>0.1</v>
      </c>
      <c r="K3" s="1">
        <f>F3+M3*I3*C3</f>
        <v>0.1</v>
      </c>
      <c r="L3" s="1">
        <v>0</v>
      </c>
      <c r="M3" s="1">
        <v>0.1</v>
      </c>
      <c r="N3" s="2">
        <v>0.5</v>
      </c>
    </row>
    <row r="4" spans="1:14" x14ac:dyDescent="0.3">
      <c r="A4" s="19"/>
      <c r="B4">
        <v>0</v>
      </c>
      <c r="C4">
        <v>1</v>
      </c>
      <c r="D4">
        <v>0</v>
      </c>
      <c r="E4">
        <f>J3</f>
        <v>0.1</v>
      </c>
      <c r="F4">
        <f>K3</f>
        <v>0.1</v>
      </c>
      <c r="G4">
        <f>B4*E4+C4*F4+L4</f>
        <v>0.1</v>
      </c>
      <c r="H4">
        <f>IF(G4&gt;N4, 1, 0)</f>
        <v>0</v>
      </c>
      <c r="I4">
        <f>D4-H4</f>
        <v>0</v>
      </c>
      <c r="J4">
        <f>E4+M4*I4*B4</f>
        <v>0.1</v>
      </c>
      <c r="K4">
        <f>F4+M4*I4*C4</f>
        <v>0.1</v>
      </c>
      <c r="L4">
        <v>0</v>
      </c>
      <c r="M4">
        <v>0.1</v>
      </c>
      <c r="N4" s="3">
        <v>0.5</v>
      </c>
    </row>
    <row r="5" spans="1:14" x14ac:dyDescent="0.3">
      <c r="A5" s="19"/>
      <c r="B5">
        <v>1</v>
      </c>
      <c r="C5">
        <v>0</v>
      </c>
      <c r="D5">
        <v>0</v>
      </c>
      <c r="E5">
        <f t="shared" ref="E5:F18" si="0">J4</f>
        <v>0.1</v>
      </c>
      <c r="F5">
        <f t="shared" si="0"/>
        <v>0.1</v>
      </c>
      <c r="G5">
        <f t="shared" ref="G5:G18" si="1">B5*E5+C5*F5+L5</f>
        <v>0.1</v>
      </c>
      <c r="H5">
        <f t="shared" ref="H5:H18" si="2">IF(G5&gt;N5, 1, 0)</f>
        <v>0</v>
      </c>
      <c r="I5">
        <f t="shared" ref="I5:I18" si="3">D5-H5</f>
        <v>0</v>
      </c>
      <c r="J5">
        <f t="shared" ref="J5:J18" si="4">E5+M5*I5*B5</f>
        <v>0.1</v>
      </c>
      <c r="K5">
        <f t="shared" ref="K5:K18" si="5">F5+M5*I5*C5</f>
        <v>0.1</v>
      </c>
      <c r="L5">
        <v>0</v>
      </c>
      <c r="M5">
        <v>0.1</v>
      </c>
      <c r="N5" s="3">
        <v>0.5</v>
      </c>
    </row>
    <row r="6" spans="1:14" x14ac:dyDescent="0.3">
      <c r="A6" s="20"/>
      <c r="B6" s="4">
        <v>1</v>
      </c>
      <c r="C6" s="4">
        <v>1</v>
      </c>
      <c r="D6" s="4">
        <v>1</v>
      </c>
      <c r="E6" s="4">
        <f t="shared" si="0"/>
        <v>0.1</v>
      </c>
      <c r="F6" s="4">
        <f t="shared" si="0"/>
        <v>0.1</v>
      </c>
      <c r="G6" s="4">
        <f t="shared" si="1"/>
        <v>0.2</v>
      </c>
      <c r="H6" s="4">
        <f t="shared" si="2"/>
        <v>0</v>
      </c>
      <c r="I6" s="4">
        <f t="shared" si="3"/>
        <v>1</v>
      </c>
      <c r="J6" s="4">
        <f t="shared" si="4"/>
        <v>0.2</v>
      </c>
      <c r="K6" s="4">
        <f t="shared" si="5"/>
        <v>0.2</v>
      </c>
      <c r="L6" s="4">
        <v>0</v>
      </c>
      <c r="M6" s="4">
        <v>0.1</v>
      </c>
      <c r="N6" s="5">
        <v>0.5</v>
      </c>
    </row>
    <row r="7" spans="1:14" x14ac:dyDescent="0.3">
      <c r="A7" s="18">
        <v>2</v>
      </c>
      <c r="B7" s="1">
        <v>0</v>
      </c>
      <c r="C7" s="1">
        <v>0</v>
      </c>
      <c r="D7" s="1">
        <v>0</v>
      </c>
      <c r="E7" s="1">
        <f t="shared" si="0"/>
        <v>0.2</v>
      </c>
      <c r="F7" s="1">
        <f t="shared" si="0"/>
        <v>0.2</v>
      </c>
      <c r="G7" s="1">
        <f t="shared" si="1"/>
        <v>0</v>
      </c>
      <c r="H7" s="1">
        <f t="shared" si="2"/>
        <v>0</v>
      </c>
      <c r="I7" s="1">
        <f t="shared" si="3"/>
        <v>0</v>
      </c>
      <c r="J7" s="1">
        <f t="shared" si="4"/>
        <v>0.2</v>
      </c>
      <c r="K7" s="1">
        <f t="shared" si="5"/>
        <v>0.2</v>
      </c>
      <c r="L7" s="1">
        <v>0</v>
      </c>
      <c r="M7" s="1">
        <v>0.1</v>
      </c>
      <c r="N7" s="2">
        <v>0.5</v>
      </c>
    </row>
    <row r="8" spans="1:14" x14ac:dyDescent="0.3">
      <c r="A8" s="19"/>
      <c r="B8">
        <v>0</v>
      </c>
      <c r="C8">
        <v>1</v>
      </c>
      <c r="D8">
        <v>0</v>
      </c>
      <c r="E8">
        <f t="shared" si="0"/>
        <v>0.2</v>
      </c>
      <c r="F8">
        <f t="shared" si="0"/>
        <v>0.2</v>
      </c>
      <c r="G8">
        <f t="shared" si="1"/>
        <v>0.2</v>
      </c>
      <c r="H8">
        <f t="shared" si="2"/>
        <v>0</v>
      </c>
      <c r="I8">
        <f t="shared" si="3"/>
        <v>0</v>
      </c>
      <c r="J8">
        <f t="shared" si="4"/>
        <v>0.2</v>
      </c>
      <c r="K8">
        <f t="shared" si="5"/>
        <v>0.2</v>
      </c>
      <c r="L8">
        <v>0</v>
      </c>
      <c r="M8">
        <v>0.1</v>
      </c>
      <c r="N8" s="3">
        <v>0.5</v>
      </c>
    </row>
    <row r="9" spans="1:14" x14ac:dyDescent="0.3">
      <c r="A9" s="19"/>
      <c r="B9">
        <v>1</v>
      </c>
      <c r="C9">
        <v>0</v>
      </c>
      <c r="D9">
        <v>0</v>
      </c>
      <c r="E9">
        <f t="shared" si="0"/>
        <v>0.2</v>
      </c>
      <c r="F9">
        <f t="shared" si="0"/>
        <v>0.2</v>
      </c>
      <c r="G9">
        <f t="shared" si="1"/>
        <v>0.2</v>
      </c>
      <c r="H9">
        <f t="shared" si="2"/>
        <v>0</v>
      </c>
      <c r="I9">
        <f t="shared" si="3"/>
        <v>0</v>
      </c>
      <c r="J9">
        <f t="shared" si="4"/>
        <v>0.2</v>
      </c>
      <c r="K9">
        <f t="shared" si="5"/>
        <v>0.2</v>
      </c>
      <c r="L9">
        <v>0</v>
      </c>
      <c r="M9">
        <v>0.1</v>
      </c>
      <c r="N9" s="3">
        <v>0.5</v>
      </c>
    </row>
    <row r="10" spans="1:14" x14ac:dyDescent="0.3">
      <c r="A10" s="19"/>
      <c r="B10">
        <v>1</v>
      </c>
      <c r="C10">
        <v>1</v>
      </c>
      <c r="D10">
        <v>1</v>
      </c>
      <c r="E10">
        <f t="shared" si="0"/>
        <v>0.2</v>
      </c>
      <c r="F10">
        <f t="shared" si="0"/>
        <v>0.2</v>
      </c>
      <c r="G10">
        <f t="shared" si="1"/>
        <v>0.4</v>
      </c>
      <c r="H10">
        <f t="shared" si="2"/>
        <v>0</v>
      </c>
      <c r="I10">
        <f t="shared" si="3"/>
        <v>1</v>
      </c>
      <c r="J10">
        <f t="shared" si="4"/>
        <v>0.30000000000000004</v>
      </c>
      <c r="K10">
        <f t="shared" si="5"/>
        <v>0.30000000000000004</v>
      </c>
      <c r="L10">
        <v>0</v>
      </c>
      <c r="M10">
        <v>0.1</v>
      </c>
      <c r="N10" s="3">
        <v>0.5</v>
      </c>
    </row>
    <row r="11" spans="1:14" x14ac:dyDescent="0.3">
      <c r="A11" s="18">
        <v>3</v>
      </c>
      <c r="B11" s="1">
        <v>0</v>
      </c>
      <c r="C11" s="1">
        <v>0</v>
      </c>
      <c r="D11" s="1">
        <v>0</v>
      </c>
      <c r="E11" s="1">
        <f t="shared" si="0"/>
        <v>0.30000000000000004</v>
      </c>
      <c r="F11" s="1">
        <f t="shared" si="0"/>
        <v>0.30000000000000004</v>
      </c>
      <c r="G11" s="1">
        <f t="shared" si="1"/>
        <v>0</v>
      </c>
      <c r="H11" s="1">
        <f t="shared" si="2"/>
        <v>0</v>
      </c>
      <c r="I11" s="1">
        <f t="shared" si="3"/>
        <v>0</v>
      </c>
      <c r="J11" s="1">
        <f t="shared" si="4"/>
        <v>0.30000000000000004</v>
      </c>
      <c r="K11" s="1">
        <f t="shared" si="5"/>
        <v>0.30000000000000004</v>
      </c>
      <c r="L11" s="1">
        <v>0</v>
      </c>
      <c r="M11" s="1">
        <v>0.1</v>
      </c>
      <c r="N11" s="2">
        <v>0.5</v>
      </c>
    </row>
    <row r="12" spans="1:14" x14ac:dyDescent="0.3">
      <c r="A12" s="19"/>
      <c r="B12">
        <v>0</v>
      </c>
      <c r="C12">
        <v>1</v>
      </c>
      <c r="D12">
        <v>0</v>
      </c>
      <c r="E12">
        <f t="shared" si="0"/>
        <v>0.30000000000000004</v>
      </c>
      <c r="F12">
        <f t="shared" si="0"/>
        <v>0.30000000000000004</v>
      </c>
      <c r="G12">
        <f t="shared" si="1"/>
        <v>0.30000000000000004</v>
      </c>
      <c r="H12">
        <f t="shared" si="2"/>
        <v>0</v>
      </c>
      <c r="I12">
        <f t="shared" si="3"/>
        <v>0</v>
      </c>
      <c r="J12">
        <f t="shared" si="4"/>
        <v>0.30000000000000004</v>
      </c>
      <c r="K12">
        <f t="shared" si="5"/>
        <v>0.30000000000000004</v>
      </c>
      <c r="L12">
        <v>0</v>
      </c>
      <c r="M12">
        <v>0.1</v>
      </c>
      <c r="N12" s="3">
        <v>0.5</v>
      </c>
    </row>
    <row r="13" spans="1:14" x14ac:dyDescent="0.3">
      <c r="A13" s="19"/>
      <c r="B13">
        <v>1</v>
      </c>
      <c r="C13">
        <v>0</v>
      </c>
      <c r="D13">
        <v>0</v>
      </c>
      <c r="E13">
        <f t="shared" si="0"/>
        <v>0.30000000000000004</v>
      </c>
      <c r="F13">
        <f t="shared" si="0"/>
        <v>0.30000000000000004</v>
      </c>
      <c r="G13">
        <f t="shared" si="1"/>
        <v>0.30000000000000004</v>
      </c>
      <c r="H13">
        <f t="shared" si="2"/>
        <v>0</v>
      </c>
      <c r="I13">
        <f t="shared" si="3"/>
        <v>0</v>
      </c>
      <c r="J13">
        <f t="shared" si="4"/>
        <v>0.30000000000000004</v>
      </c>
      <c r="K13">
        <f t="shared" si="5"/>
        <v>0.30000000000000004</v>
      </c>
      <c r="L13">
        <v>0</v>
      </c>
      <c r="M13">
        <v>0.1</v>
      </c>
      <c r="N13" s="3">
        <v>0.5</v>
      </c>
    </row>
    <row r="14" spans="1:14" x14ac:dyDescent="0.3">
      <c r="A14" s="19"/>
      <c r="B14">
        <v>1</v>
      </c>
      <c r="C14">
        <v>1</v>
      </c>
      <c r="D14">
        <v>1</v>
      </c>
      <c r="E14">
        <f t="shared" si="0"/>
        <v>0.30000000000000004</v>
      </c>
      <c r="F14">
        <f t="shared" si="0"/>
        <v>0.30000000000000004</v>
      </c>
      <c r="G14">
        <f t="shared" si="1"/>
        <v>0.60000000000000009</v>
      </c>
      <c r="H14">
        <f t="shared" si="2"/>
        <v>1</v>
      </c>
      <c r="I14">
        <f t="shared" si="3"/>
        <v>0</v>
      </c>
      <c r="J14">
        <f t="shared" si="4"/>
        <v>0.30000000000000004</v>
      </c>
      <c r="K14">
        <f t="shared" si="5"/>
        <v>0.30000000000000004</v>
      </c>
      <c r="L14">
        <v>0</v>
      </c>
      <c r="M14">
        <v>0.1</v>
      </c>
      <c r="N14" s="3">
        <v>0.5</v>
      </c>
    </row>
    <row r="15" spans="1:14" x14ac:dyDescent="0.3">
      <c r="A15" s="18">
        <v>4</v>
      </c>
      <c r="B15" s="1">
        <v>0</v>
      </c>
      <c r="C15" s="1">
        <v>0</v>
      </c>
      <c r="D15" s="1">
        <v>0</v>
      </c>
      <c r="E15" s="1">
        <f t="shared" si="0"/>
        <v>0.30000000000000004</v>
      </c>
      <c r="F15" s="1">
        <f t="shared" si="0"/>
        <v>0.30000000000000004</v>
      </c>
      <c r="G15" s="1">
        <f t="shared" si="1"/>
        <v>0</v>
      </c>
      <c r="H15" s="1">
        <f t="shared" si="2"/>
        <v>0</v>
      </c>
      <c r="I15" s="1">
        <f t="shared" si="3"/>
        <v>0</v>
      </c>
      <c r="J15" s="1">
        <f t="shared" si="4"/>
        <v>0.30000000000000004</v>
      </c>
      <c r="K15" s="1">
        <f t="shared" si="5"/>
        <v>0.30000000000000004</v>
      </c>
      <c r="L15" s="1">
        <v>0</v>
      </c>
      <c r="M15" s="1">
        <v>0.1</v>
      </c>
      <c r="N15" s="2">
        <v>0.5</v>
      </c>
    </row>
    <row r="16" spans="1:14" x14ac:dyDescent="0.3">
      <c r="A16" s="19"/>
      <c r="B16">
        <v>0</v>
      </c>
      <c r="C16">
        <v>1</v>
      </c>
      <c r="D16">
        <v>0</v>
      </c>
      <c r="E16">
        <f t="shared" si="0"/>
        <v>0.30000000000000004</v>
      </c>
      <c r="F16">
        <f t="shared" si="0"/>
        <v>0.30000000000000004</v>
      </c>
      <c r="G16">
        <f t="shared" si="1"/>
        <v>0.30000000000000004</v>
      </c>
      <c r="H16">
        <f t="shared" si="2"/>
        <v>0</v>
      </c>
      <c r="I16">
        <f t="shared" si="3"/>
        <v>0</v>
      </c>
      <c r="J16">
        <f t="shared" si="4"/>
        <v>0.30000000000000004</v>
      </c>
      <c r="K16">
        <f t="shared" si="5"/>
        <v>0.30000000000000004</v>
      </c>
      <c r="L16">
        <v>0</v>
      </c>
      <c r="M16">
        <v>0.1</v>
      </c>
      <c r="N16" s="3">
        <v>0.5</v>
      </c>
    </row>
    <row r="17" spans="1:14" x14ac:dyDescent="0.3">
      <c r="A17" s="19"/>
      <c r="B17">
        <v>1</v>
      </c>
      <c r="C17">
        <v>0</v>
      </c>
      <c r="D17">
        <v>0</v>
      </c>
      <c r="E17">
        <f t="shared" si="0"/>
        <v>0.30000000000000004</v>
      </c>
      <c r="F17">
        <f t="shared" si="0"/>
        <v>0.30000000000000004</v>
      </c>
      <c r="G17">
        <f t="shared" si="1"/>
        <v>0.30000000000000004</v>
      </c>
      <c r="H17">
        <f t="shared" si="2"/>
        <v>0</v>
      </c>
      <c r="I17">
        <f t="shared" si="3"/>
        <v>0</v>
      </c>
      <c r="J17">
        <f t="shared" si="4"/>
        <v>0.30000000000000004</v>
      </c>
      <c r="K17">
        <f t="shared" si="5"/>
        <v>0.30000000000000004</v>
      </c>
      <c r="L17">
        <v>0</v>
      </c>
      <c r="M17">
        <v>0.1</v>
      </c>
      <c r="N17" s="3">
        <v>0.5</v>
      </c>
    </row>
    <row r="18" spans="1:14" x14ac:dyDescent="0.3">
      <c r="A18" s="20"/>
      <c r="B18" s="4">
        <v>1</v>
      </c>
      <c r="C18" s="4">
        <v>1</v>
      </c>
      <c r="D18" s="4">
        <v>1</v>
      </c>
      <c r="E18" s="4">
        <f t="shared" si="0"/>
        <v>0.30000000000000004</v>
      </c>
      <c r="F18" s="4">
        <f t="shared" si="0"/>
        <v>0.30000000000000004</v>
      </c>
      <c r="G18" s="4">
        <f t="shared" si="1"/>
        <v>0.60000000000000009</v>
      </c>
      <c r="H18" s="4">
        <f t="shared" si="2"/>
        <v>1</v>
      </c>
      <c r="I18" s="4">
        <f t="shared" si="3"/>
        <v>0</v>
      </c>
      <c r="J18" s="4">
        <f t="shared" si="4"/>
        <v>0.30000000000000004</v>
      </c>
      <c r="K18" s="4">
        <f t="shared" si="5"/>
        <v>0.30000000000000004</v>
      </c>
      <c r="L18" s="4">
        <v>0</v>
      </c>
      <c r="M18" s="4">
        <v>0.1</v>
      </c>
      <c r="N18" s="5">
        <v>0.5</v>
      </c>
    </row>
    <row r="20" spans="1:14" ht="21" x14ac:dyDescent="0.4">
      <c r="A20" s="21" t="s">
        <v>18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  <row r="21" spans="1:14" x14ac:dyDescent="0.3">
      <c r="A21" s="7" t="s">
        <v>11</v>
      </c>
      <c r="B21" s="6" t="s">
        <v>0</v>
      </c>
      <c r="C21" s="6" t="s">
        <v>1</v>
      </c>
      <c r="D21" s="8" t="s">
        <v>12</v>
      </c>
      <c r="E21" s="6" t="s">
        <v>2</v>
      </c>
      <c r="F21" s="6" t="s">
        <v>3</v>
      </c>
      <c r="G21" s="6" t="s">
        <v>9</v>
      </c>
      <c r="H21" s="8" t="s">
        <v>13</v>
      </c>
      <c r="I21" s="6" t="s">
        <v>10</v>
      </c>
      <c r="J21" s="6" t="s">
        <v>4</v>
      </c>
      <c r="K21" s="6" t="s">
        <v>5</v>
      </c>
      <c r="L21" s="6" t="s">
        <v>6</v>
      </c>
      <c r="M21" s="6" t="s">
        <v>7</v>
      </c>
      <c r="N21" s="6" t="s">
        <v>8</v>
      </c>
    </row>
    <row r="22" spans="1:14" x14ac:dyDescent="0.3">
      <c r="A22" s="18">
        <v>1</v>
      </c>
      <c r="B22" s="1">
        <v>0</v>
      </c>
      <c r="C22" s="1">
        <v>0</v>
      </c>
      <c r="D22" s="1">
        <v>1</v>
      </c>
      <c r="E22" s="1">
        <v>0.1</v>
      </c>
      <c r="F22" s="1">
        <v>0.1</v>
      </c>
      <c r="G22" s="1">
        <f>B22*E22+C22*F22+L22</f>
        <v>1</v>
      </c>
      <c r="H22" s="1">
        <f>IF(G22&gt;N22, 1, 0)</f>
        <v>1</v>
      </c>
      <c r="I22" s="1">
        <f>D22-H22</f>
        <v>0</v>
      </c>
      <c r="J22" s="1">
        <f>E22+M22*I22*B22</f>
        <v>0.1</v>
      </c>
      <c r="K22" s="1">
        <f>F22+M22*I22*C22</f>
        <v>0.1</v>
      </c>
      <c r="L22" s="1">
        <v>1</v>
      </c>
      <c r="M22" s="1">
        <v>0.1</v>
      </c>
      <c r="N22" s="2">
        <v>0.5</v>
      </c>
    </row>
    <row r="23" spans="1:14" x14ac:dyDescent="0.3">
      <c r="A23" s="19"/>
      <c r="B23">
        <v>0</v>
      </c>
      <c r="C23">
        <v>1</v>
      </c>
      <c r="D23">
        <v>0</v>
      </c>
      <c r="E23">
        <f>J22</f>
        <v>0.1</v>
      </c>
      <c r="F23">
        <f>K22</f>
        <v>0.1</v>
      </c>
      <c r="G23">
        <f>B23*E23+C23*F23+L23</f>
        <v>1.1000000000000001</v>
      </c>
      <c r="H23">
        <f>IF(G23&gt;N23, 1, 0)</f>
        <v>1</v>
      </c>
      <c r="I23">
        <f>D23-H23</f>
        <v>-1</v>
      </c>
      <c r="J23">
        <f>E23+M23*I23*B23</f>
        <v>0.1</v>
      </c>
      <c r="K23">
        <f>F23+M23*I23*C23</f>
        <v>0</v>
      </c>
      <c r="L23">
        <v>1</v>
      </c>
      <c r="M23">
        <v>0.1</v>
      </c>
      <c r="N23" s="3">
        <v>0.5</v>
      </c>
    </row>
    <row r="24" spans="1:14" x14ac:dyDescent="0.3">
      <c r="A24" s="19"/>
      <c r="B24">
        <v>1</v>
      </c>
      <c r="C24">
        <v>0</v>
      </c>
      <c r="D24">
        <v>0</v>
      </c>
      <c r="E24">
        <f t="shared" ref="E24:F39" si="6">J23</f>
        <v>0.1</v>
      </c>
      <c r="F24">
        <f t="shared" si="6"/>
        <v>0</v>
      </c>
      <c r="G24">
        <f t="shared" ref="G24:G41" si="7">B24*E24+C24*F24+L24</f>
        <v>1.1000000000000001</v>
      </c>
      <c r="H24">
        <f t="shared" ref="H24:H41" si="8">IF(G24&gt;N24, 1, 0)</f>
        <v>1</v>
      </c>
      <c r="I24">
        <f t="shared" ref="I24:I41" si="9">D24-H24</f>
        <v>-1</v>
      </c>
      <c r="J24">
        <f t="shared" ref="J24:J41" si="10">E24+M24*I24*B24</f>
        <v>0</v>
      </c>
      <c r="K24">
        <f t="shared" ref="K24:K41" si="11">F24+M24*I24*C24</f>
        <v>0</v>
      </c>
      <c r="L24">
        <v>1</v>
      </c>
      <c r="M24">
        <v>0.1</v>
      </c>
      <c r="N24" s="3">
        <v>0.5</v>
      </c>
    </row>
    <row r="25" spans="1:14" x14ac:dyDescent="0.3">
      <c r="A25" s="20"/>
      <c r="B25" s="4">
        <v>1</v>
      </c>
      <c r="C25" s="4">
        <v>1</v>
      </c>
      <c r="D25" s="4">
        <v>0</v>
      </c>
      <c r="E25" s="4">
        <f t="shared" si="6"/>
        <v>0</v>
      </c>
      <c r="F25" s="4">
        <f t="shared" si="6"/>
        <v>0</v>
      </c>
      <c r="G25" s="4">
        <f t="shared" si="7"/>
        <v>1</v>
      </c>
      <c r="H25" s="4">
        <f t="shared" si="8"/>
        <v>1</v>
      </c>
      <c r="I25" s="4">
        <f t="shared" si="9"/>
        <v>-1</v>
      </c>
      <c r="J25" s="4">
        <f t="shared" si="10"/>
        <v>-0.1</v>
      </c>
      <c r="K25" s="4">
        <f t="shared" si="11"/>
        <v>-0.1</v>
      </c>
      <c r="L25" s="4">
        <v>1</v>
      </c>
      <c r="M25" s="4">
        <v>0.1</v>
      </c>
      <c r="N25" s="5">
        <v>0.5</v>
      </c>
    </row>
    <row r="26" spans="1:14" x14ac:dyDescent="0.3">
      <c r="A26" s="18">
        <v>2</v>
      </c>
      <c r="B26" s="1">
        <v>0</v>
      </c>
      <c r="C26" s="1">
        <v>0</v>
      </c>
      <c r="D26" s="1">
        <v>1</v>
      </c>
      <c r="E26" s="1">
        <f t="shared" si="6"/>
        <v>-0.1</v>
      </c>
      <c r="F26" s="1">
        <f t="shared" si="6"/>
        <v>-0.1</v>
      </c>
      <c r="G26" s="1">
        <f t="shared" si="7"/>
        <v>1</v>
      </c>
      <c r="H26" s="1">
        <f t="shared" si="8"/>
        <v>1</v>
      </c>
      <c r="I26" s="1">
        <f t="shared" si="9"/>
        <v>0</v>
      </c>
      <c r="J26" s="1">
        <f t="shared" si="10"/>
        <v>-0.1</v>
      </c>
      <c r="K26" s="1">
        <f t="shared" si="11"/>
        <v>-0.1</v>
      </c>
      <c r="L26" s="1">
        <v>1</v>
      </c>
      <c r="M26" s="1">
        <v>0.1</v>
      </c>
      <c r="N26" s="2">
        <v>0.5</v>
      </c>
    </row>
    <row r="27" spans="1:14" x14ac:dyDescent="0.3">
      <c r="A27" s="19"/>
      <c r="B27">
        <v>0</v>
      </c>
      <c r="C27">
        <v>1</v>
      </c>
      <c r="D27">
        <v>0</v>
      </c>
      <c r="E27">
        <f t="shared" si="6"/>
        <v>-0.1</v>
      </c>
      <c r="F27">
        <f t="shared" si="6"/>
        <v>-0.1</v>
      </c>
      <c r="G27">
        <f t="shared" si="7"/>
        <v>0.9</v>
      </c>
      <c r="H27">
        <f t="shared" si="8"/>
        <v>1</v>
      </c>
      <c r="I27">
        <f t="shared" si="9"/>
        <v>-1</v>
      </c>
      <c r="J27">
        <f t="shared" si="10"/>
        <v>-0.1</v>
      </c>
      <c r="K27">
        <f t="shared" si="11"/>
        <v>-0.2</v>
      </c>
      <c r="L27">
        <v>1</v>
      </c>
      <c r="M27">
        <v>0.1</v>
      </c>
      <c r="N27" s="3">
        <v>0.5</v>
      </c>
    </row>
    <row r="28" spans="1:14" x14ac:dyDescent="0.3">
      <c r="A28" s="19"/>
      <c r="B28">
        <v>1</v>
      </c>
      <c r="C28">
        <v>0</v>
      </c>
      <c r="D28">
        <v>0</v>
      </c>
      <c r="E28">
        <f t="shared" si="6"/>
        <v>-0.1</v>
      </c>
      <c r="F28">
        <f t="shared" si="6"/>
        <v>-0.2</v>
      </c>
      <c r="G28">
        <f t="shared" si="7"/>
        <v>0.9</v>
      </c>
      <c r="H28">
        <f t="shared" si="8"/>
        <v>1</v>
      </c>
      <c r="I28">
        <f t="shared" si="9"/>
        <v>-1</v>
      </c>
      <c r="J28">
        <f t="shared" si="10"/>
        <v>-0.2</v>
      </c>
      <c r="K28">
        <f t="shared" si="11"/>
        <v>-0.2</v>
      </c>
      <c r="L28">
        <v>1</v>
      </c>
      <c r="M28">
        <v>0.1</v>
      </c>
      <c r="N28" s="3">
        <v>0.5</v>
      </c>
    </row>
    <row r="29" spans="1:14" x14ac:dyDescent="0.3">
      <c r="A29" s="20"/>
      <c r="B29" s="4">
        <v>1</v>
      </c>
      <c r="C29" s="4">
        <v>1</v>
      </c>
      <c r="D29" s="4">
        <v>0</v>
      </c>
      <c r="E29" s="4">
        <f t="shared" si="6"/>
        <v>-0.2</v>
      </c>
      <c r="F29" s="4">
        <f t="shared" si="6"/>
        <v>-0.2</v>
      </c>
      <c r="G29" s="4">
        <f t="shared" si="7"/>
        <v>0.6</v>
      </c>
      <c r="H29" s="4">
        <f t="shared" si="8"/>
        <v>1</v>
      </c>
      <c r="I29" s="4">
        <f t="shared" si="9"/>
        <v>-1</v>
      </c>
      <c r="J29" s="4">
        <f t="shared" si="10"/>
        <v>-0.30000000000000004</v>
      </c>
      <c r="K29" s="4">
        <f t="shared" si="11"/>
        <v>-0.30000000000000004</v>
      </c>
      <c r="L29" s="4">
        <v>1</v>
      </c>
      <c r="M29" s="4">
        <v>0.1</v>
      </c>
      <c r="N29" s="5">
        <v>0.5</v>
      </c>
    </row>
    <row r="30" spans="1:14" x14ac:dyDescent="0.3">
      <c r="A30" s="18">
        <v>3</v>
      </c>
      <c r="B30" s="1">
        <v>0</v>
      </c>
      <c r="C30" s="1">
        <v>0</v>
      </c>
      <c r="D30" s="1">
        <v>1</v>
      </c>
      <c r="E30" s="1">
        <f t="shared" si="6"/>
        <v>-0.30000000000000004</v>
      </c>
      <c r="F30" s="1">
        <f t="shared" si="6"/>
        <v>-0.30000000000000004</v>
      </c>
      <c r="G30" s="1">
        <f t="shared" si="7"/>
        <v>1</v>
      </c>
      <c r="H30" s="1">
        <f t="shared" si="8"/>
        <v>1</v>
      </c>
      <c r="I30" s="1">
        <f t="shared" si="9"/>
        <v>0</v>
      </c>
      <c r="J30" s="1">
        <f t="shared" si="10"/>
        <v>-0.30000000000000004</v>
      </c>
      <c r="K30" s="1">
        <f t="shared" si="11"/>
        <v>-0.30000000000000004</v>
      </c>
      <c r="L30" s="1">
        <v>1</v>
      </c>
      <c r="M30" s="1">
        <v>0.1</v>
      </c>
      <c r="N30" s="2">
        <v>0.5</v>
      </c>
    </row>
    <row r="31" spans="1:14" x14ac:dyDescent="0.3">
      <c r="A31" s="19"/>
      <c r="B31">
        <v>0</v>
      </c>
      <c r="C31">
        <v>1</v>
      </c>
      <c r="D31">
        <v>0</v>
      </c>
      <c r="E31">
        <f t="shared" si="6"/>
        <v>-0.30000000000000004</v>
      </c>
      <c r="F31">
        <f t="shared" si="6"/>
        <v>-0.30000000000000004</v>
      </c>
      <c r="G31">
        <f t="shared" si="7"/>
        <v>0.7</v>
      </c>
      <c r="H31">
        <f t="shared" si="8"/>
        <v>1</v>
      </c>
      <c r="I31">
        <f t="shared" si="9"/>
        <v>-1</v>
      </c>
      <c r="J31">
        <f t="shared" si="10"/>
        <v>-0.30000000000000004</v>
      </c>
      <c r="K31">
        <f t="shared" si="11"/>
        <v>-0.4</v>
      </c>
      <c r="L31">
        <v>1</v>
      </c>
      <c r="M31">
        <v>0.1</v>
      </c>
      <c r="N31" s="3">
        <v>0.5</v>
      </c>
    </row>
    <row r="32" spans="1:14" x14ac:dyDescent="0.3">
      <c r="A32" s="19"/>
      <c r="B32">
        <v>1</v>
      </c>
      <c r="C32">
        <v>0</v>
      </c>
      <c r="D32">
        <v>0</v>
      </c>
      <c r="E32">
        <f t="shared" si="6"/>
        <v>-0.30000000000000004</v>
      </c>
      <c r="F32">
        <f t="shared" si="6"/>
        <v>-0.4</v>
      </c>
      <c r="G32">
        <f t="shared" si="7"/>
        <v>0.7</v>
      </c>
      <c r="H32">
        <f t="shared" si="8"/>
        <v>1</v>
      </c>
      <c r="I32">
        <f t="shared" si="9"/>
        <v>-1</v>
      </c>
      <c r="J32">
        <f t="shared" si="10"/>
        <v>-0.4</v>
      </c>
      <c r="K32">
        <f t="shared" si="11"/>
        <v>-0.4</v>
      </c>
      <c r="L32">
        <v>1</v>
      </c>
      <c r="M32">
        <v>0.1</v>
      </c>
      <c r="N32" s="3">
        <v>0.5</v>
      </c>
    </row>
    <row r="33" spans="1:14" x14ac:dyDescent="0.3">
      <c r="A33" s="20"/>
      <c r="B33" s="4">
        <v>1</v>
      </c>
      <c r="C33" s="4">
        <v>1</v>
      </c>
      <c r="D33" s="4">
        <v>0</v>
      </c>
      <c r="E33" s="4">
        <f t="shared" si="6"/>
        <v>-0.4</v>
      </c>
      <c r="F33" s="4">
        <f t="shared" si="6"/>
        <v>-0.4</v>
      </c>
      <c r="G33" s="4">
        <f t="shared" si="7"/>
        <v>0.19999999999999996</v>
      </c>
      <c r="H33" s="4">
        <f t="shared" si="8"/>
        <v>0</v>
      </c>
      <c r="I33" s="4">
        <f t="shared" si="9"/>
        <v>0</v>
      </c>
      <c r="J33" s="4">
        <f t="shared" si="10"/>
        <v>-0.4</v>
      </c>
      <c r="K33" s="4">
        <f t="shared" si="11"/>
        <v>-0.4</v>
      </c>
      <c r="L33" s="4">
        <v>1</v>
      </c>
      <c r="M33" s="4">
        <v>0.1</v>
      </c>
      <c r="N33" s="5">
        <v>0.5</v>
      </c>
    </row>
    <row r="34" spans="1:14" x14ac:dyDescent="0.3">
      <c r="A34" s="18">
        <v>4</v>
      </c>
      <c r="B34" s="1">
        <v>0</v>
      </c>
      <c r="C34" s="1">
        <v>0</v>
      </c>
      <c r="D34" s="1">
        <v>1</v>
      </c>
      <c r="E34" s="1">
        <f t="shared" si="6"/>
        <v>-0.4</v>
      </c>
      <c r="F34" s="1">
        <f t="shared" si="6"/>
        <v>-0.4</v>
      </c>
      <c r="G34" s="1">
        <f t="shared" si="7"/>
        <v>1</v>
      </c>
      <c r="H34" s="1">
        <f t="shared" si="8"/>
        <v>1</v>
      </c>
      <c r="I34" s="1">
        <f t="shared" si="9"/>
        <v>0</v>
      </c>
      <c r="J34" s="1">
        <f t="shared" si="10"/>
        <v>-0.4</v>
      </c>
      <c r="K34" s="1">
        <f t="shared" si="11"/>
        <v>-0.4</v>
      </c>
      <c r="L34" s="1">
        <v>1</v>
      </c>
      <c r="M34" s="1">
        <v>0.1</v>
      </c>
      <c r="N34" s="2">
        <v>0.5</v>
      </c>
    </row>
    <row r="35" spans="1:14" x14ac:dyDescent="0.3">
      <c r="A35" s="19"/>
      <c r="B35">
        <v>0</v>
      </c>
      <c r="C35">
        <v>1</v>
      </c>
      <c r="D35">
        <v>0</v>
      </c>
      <c r="E35">
        <f t="shared" si="6"/>
        <v>-0.4</v>
      </c>
      <c r="F35">
        <f t="shared" si="6"/>
        <v>-0.4</v>
      </c>
      <c r="G35">
        <f t="shared" si="7"/>
        <v>0.6</v>
      </c>
      <c r="H35">
        <f t="shared" si="8"/>
        <v>1</v>
      </c>
      <c r="I35">
        <f t="shared" si="9"/>
        <v>-1</v>
      </c>
      <c r="J35">
        <f t="shared" si="10"/>
        <v>-0.4</v>
      </c>
      <c r="K35">
        <f t="shared" si="11"/>
        <v>-0.5</v>
      </c>
      <c r="L35">
        <v>1</v>
      </c>
      <c r="M35">
        <v>0.1</v>
      </c>
      <c r="N35" s="3">
        <v>0.5</v>
      </c>
    </row>
    <row r="36" spans="1:14" x14ac:dyDescent="0.3">
      <c r="A36" s="19"/>
      <c r="B36">
        <v>1</v>
      </c>
      <c r="C36">
        <v>0</v>
      </c>
      <c r="D36">
        <v>0</v>
      </c>
      <c r="E36">
        <f t="shared" si="6"/>
        <v>-0.4</v>
      </c>
      <c r="F36">
        <f t="shared" si="6"/>
        <v>-0.5</v>
      </c>
      <c r="G36">
        <f t="shared" si="7"/>
        <v>0.6</v>
      </c>
      <c r="H36">
        <f t="shared" si="8"/>
        <v>1</v>
      </c>
      <c r="I36">
        <f t="shared" si="9"/>
        <v>-1</v>
      </c>
      <c r="J36">
        <f t="shared" si="10"/>
        <v>-0.5</v>
      </c>
      <c r="K36">
        <f t="shared" si="11"/>
        <v>-0.5</v>
      </c>
      <c r="L36">
        <v>1</v>
      </c>
      <c r="M36">
        <v>0.1</v>
      </c>
      <c r="N36" s="3">
        <v>0.5</v>
      </c>
    </row>
    <row r="37" spans="1:14" x14ac:dyDescent="0.3">
      <c r="A37" s="19"/>
      <c r="B37">
        <v>1</v>
      </c>
      <c r="C37">
        <v>1</v>
      </c>
      <c r="D37">
        <v>0</v>
      </c>
      <c r="E37">
        <f t="shared" si="6"/>
        <v>-0.5</v>
      </c>
      <c r="F37">
        <f t="shared" si="6"/>
        <v>-0.5</v>
      </c>
      <c r="G37">
        <f t="shared" si="7"/>
        <v>0</v>
      </c>
      <c r="H37">
        <f t="shared" si="8"/>
        <v>0</v>
      </c>
      <c r="I37">
        <f t="shared" si="9"/>
        <v>0</v>
      </c>
      <c r="J37">
        <f t="shared" si="10"/>
        <v>-0.5</v>
      </c>
      <c r="K37">
        <f t="shared" si="11"/>
        <v>-0.5</v>
      </c>
      <c r="L37">
        <v>1</v>
      </c>
      <c r="M37">
        <v>0.1</v>
      </c>
      <c r="N37" s="3">
        <v>0.5</v>
      </c>
    </row>
    <row r="38" spans="1:14" x14ac:dyDescent="0.3">
      <c r="A38" s="18">
        <v>5</v>
      </c>
      <c r="B38" s="1">
        <v>0</v>
      </c>
      <c r="C38" s="1">
        <v>0</v>
      </c>
      <c r="D38" s="1">
        <v>1</v>
      </c>
      <c r="E38" s="1">
        <f t="shared" si="6"/>
        <v>-0.5</v>
      </c>
      <c r="F38" s="1">
        <f t="shared" si="6"/>
        <v>-0.5</v>
      </c>
      <c r="G38" s="1">
        <f t="shared" si="7"/>
        <v>1</v>
      </c>
      <c r="H38" s="1">
        <f t="shared" si="8"/>
        <v>1</v>
      </c>
      <c r="I38" s="1">
        <f t="shared" si="9"/>
        <v>0</v>
      </c>
      <c r="J38" s="1">
        <f t="shared" si="10"/>
        <v>-0.5</v>
      </c>
      <c r="K38" s="1">
        <f t="shared" si="11"/>
        <v>-0.5</v>
      </c>
      <c r="L38" s="1">
        <v>1</v>
      </c>
      <c r="M38" s="1">
        <v>0.1</v>
      </c>
      <c r="N38" s="2">
        <v>0.5</v>
      </c>
    </row>
    <row r="39" spans="1:14" x14ac:dyDescent="0.3">
      <c r="A39" s="19"/>
      <c r="B39">
        <v>0</v>
      </c>
      <c r="C39">
        <v>1</v>
      </c>
      <c r="D39">
        <v>0</v>
      </c>
      <c r="E39">
        <f t="shared" si="6"/>
        <v>-0.5</v>
      </c>
      <c r="F39">
        <f t="shared" si="6"/>
        <v>-0.5</v>
      </c>
      <c r="G39">
        <f t="shared" si="7"/>
        <v>0.5</v>
      </c>
      <c r="H39">
        <f t="shared" si="8"/>
        <v>0</v>
      </c>
      <c r="I39">
        <f t="shared" si="9"/>
        <v>0</v>
      </c>
      <c r="J39">
        <f t="shared" si="10"/>
        <v>-0.5</v>
      </c>
      <c r="K39">
        <f t="shared" si="11"/>
        <v>-0.5</v>
      </c>
      <c r="L39">
        <v>1</v>
      </c>
      <c r="M39">
        <v>0.1</v>
      </c>
      <c r="N39" s="3">
        <v>0.5</v>
      </c>
    </row>
    <row r="40" spans="1:14" x14ac:dyDescent="0.3">
      <c r="A40" s="19"/>
      <c r="B40">
        <v>1</v>
      </c>
      <c r="C40">
        <v>0</v>
      </c>
      <c r="D40">
        <v>0</v>
      </c>
      <c r="E40">
        <f t="shared" ref="E40:F41" si="12">J39</f>
        <v>-0.5</v>
      </c>
      <c r="F40">
        <f t="shared" si="12"/>
        <v>-0.5</v>
      </c>
      <c r="G40">
        <f t="shared" si="7"/>
        <v>0.5</v>
      </c>
      <c r="H40">
        <f t="shared" si="8"/>
        <v>0</v>
      </c>
      <c r="I40">
        <f t="shared" si="9"/>
        <v>0</v>
      </c>
      <c r="J40">
        <f t="shared" si="10"/>
        <v>-0.5</v>
      </c>
      <c r="K40">
        <f t="shared" si="11"/>
        <v>-0.5</v>
      </c>
      <c r="L40">
        <v>1</v>
      </c>
      <c r="M40">
        <v>0.1</v>
      </c>
      <c r="N40" s="3">
        <v>0.5</v>
      </c>
    </row>
    <row r="41" spans="1:14" x14ac:dyDescent="0.3">
      <c r="A41" s="20"/>
      <c r="B41" s="4">
        <v>1</v>
      </c>
      <c r="C41" s="4">
        <v>1</v>
      </c>
      <c r="D41" s="4">
        <v>0</v>
      </c>
      <c r="E41" s="4">
        <f t="shared" si="12"/>
        <v>-0.5</v>
      </c>
      <c r="F41" s="4">
        <f t="shared" si="12"/>
        <v>-0.5</v>
      </c>
      <c r="G41" s="4">
        <f t="shared" si="7"/>
        <v>0</v>
      </c>
      <c r="H41" s="4">
        <f t="shared" si="8"/>
        <v>0</v>
      </c>
      <c r="I41" s="4">
        <f t="shared" si="9"/>
        <v>0</v>
      </c>
      <c r="J41" s="4">
        <f t="shared" si="10"/>
        <v>-0.5</v>
      </c>
      <c r="K41" s="4">
        <f t="shared" si="11"/>
        <v>-0.5</v>
      </c>
      <c r="L41" s="4">
        <v>1</v>
      </c>
      <c r="M41" s="4">
        <v>0.1</v>
      </c>
      <c r="N41" s="5">
        <v>0.5</v>
      </c>
    </row>
    <row r="43" spans="1:14" ht="21" x14ac:dyDescent="0.4">
      <c r="A43" s="21" t="s">
        <v>19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/>
    </row>
    <row r="44" spans="1:14" x14ac:dyDescent="0.3">
      <c r="A44" s="12" t="s">
        <v>11</v>
      </c>
      <c r="B44" s="10" t="s">
        <v>0</v>
      </c>
      <c r="C44" s="10" t="s">
        <v>1</v>
      </c>
      <c r="D44" s="11" t="s">
        <v>12</v>
      </c>
      <c r="E44" s="10" t="s">
        <v>2</v>
      </c>
      <c r="F44" s="10" t="s">
        <v>3</v>
      </c>
      <c r="G44" s="10" t="s">
        <v>9</v>
      </c>
      <c r="H44" s="11" t="s">
        <v>13</v>
      </c>
      <c r="I44" s="10" t="s">
        <v>10</v>
      </c>
      <c r="J44" s="10" t="s">
        <v>4</v>
      </c>
      <c r="K44" s="10" t="s">
        <v>5</v>
      </c>
      <c r="L44" s="10" t="s">
        <v>6</v>
      </c>
      <c r="M44" s="10" t="s">
        <v>7</v>
      </c>
      <c r="N44" s="13" t="s">
        <v>8</v>
      </c>
    </row>
    <row r="45" spans="1:14" x14ac:dyDescent="0.3">
      <c r="A45" s="24">
        <v>1</v>
      </c>
      <c r="B45" s="1">
        <v>0</v>
      </c>
      <c r="C45" s="1">
        <v>1</v>
      </c>
      <c r="D45" s="1">
        <v>1</v>
      </c>
      <c r="E45" s="1">
        <v>0.1</v>
      </c>
      <c r="F45" s="1">
        <v>0.1</v>
      </c>
      <c r="G45" s="1">
        <f>B45*E45+C45*F45+L45</f>
        <v>0.1</v>
      </c>
      <c r="H45" s="1">
        <f>IF(G45&gt;N45, 1, 0)</f>
        <v>0</v>
      </c>
      <c r="I45" s="1">
        <f t="shared" ref="I45:I48" si="13">D45-H45</f>
        <v>1</v>
      </c>
      <c r="J45" s="1">
        <f>E45+M45*I45*B45</f>
        <v>0.1</v>
      </c>
      <c r="K45" s="1">
        <f>F45+M45*I45*C45</f>
        <v>0.2</v>
      </c>
      <c r="L45" s="1">
        <v>0</v>
      </c>
      <c r="M45" s="1">
        <v>0.1</v>
      </c>
      <c r="N45" s="2">
        <v>0.5</v>
      </c>
    </row>
    <row r="46" spans="1:14" x14ac:dyDescent="0.3">
      <c r="A46" s="25"/>
      <c r="B46">
        <v>0</v>
      </c>
      <c r="C46">
        <v>0</v>
      </c>
      <c r="D46">
        <v>0</v>
      </c>
      <c r="E46">
        <f>J45</f>
        <v>0.1</v>
      </c>
      <c r="F46">
        <f>K45</f>
        <v>0.2</v>
      </c>
      <c r="G46">
        <f t="shared" ref="G46:G48" si="14">B46*E46+C46*F46+L46</f>
        <v>0</v>
      </c>
      <c r="H46">
        <f t="shared" ref="H46:H48" si="15">IF(G46&gt;N46, 1, 0)</f>
        <v>0</v>
      </c>
      <c r="I46">
        <f t="shared" si="13"/>
        <v>0</v>
      </c>
      <c r="J46">
        <f t="shared" ref="J46:J48" si="16">E46+M46*I46*B46</f>
        <v>0.1</v>
      </c>
      <c r="K46">
        <f t="shared" ref="K46:K48" si="17">F46+M46*I46*C46</f>
        <v>0.2</v>
      </c>
      <c r="L46">
        <v>0</v>
      </c>
      <c r="M46">
        <v>0.1</v>
      </c>
      <c r="N46" s="3">
        <v>0.5</v>
      </c>
    </row>
    <row r="47" spans="1:14" x14ac:dyDescent="0.3">
      <c r="A47" s="25"/>
      <c r="B47">
        <v>0</v>
      </c>
      <c r="C47">
        <v>0</v>
      </c>
      <c r="D47">
        <v>0</v>
      </c>
      <c r="E47">
        <f t="shared" ref="E47:E48" si="18">J46</f>
        <v>0.1</v>
      </c>
      <c r="F47">
        <f t="shared" ref="F47:F48" si="19">K46</f>
        <v>0.2</v>
      </c>
      <c r="G47">
        <f t="shared" si="14"/>
        <v>0</v>
      </c>
      <c r="H47">
        <f t="shared" si="15"/>
        <v>0</v>
      </c>
      <c r="I47">
        <f t="shared" si="13"/>
        <v>0</v>
      </c>
      <c r="J47">
        <f t="shared" si="16"/>
        <v>0.1</v>
      </c>
      <c r="K47">
        <f t="shared" si="17"/>
        <v>0.2</v>
      </c>
      <c r="L47">
        <v>0</v>
      </c>
      <c r="M47">
        <v>0.1</v>
      </c>
      <c r="N47" s="3">
        <v>0.5</v>
      </c>
    </row>
    <row r="48" spans="1:14" x14ac:dyDescent="0.3">
      <c r="A48" s="26"/>
      <c r="B48" s="4">
        <v>1</v>
      </c>
      <c r="C48" s="4">
        <v>0</v>
      </c>
      <c r="D48" s="4">
        <v>1</v>
      </c>
      <c r="E48" s="4">
        <f t="shared" si="18"/>
        <v>0.1</v>
      </c>
      <c r="F48" s="4">
        <f t="shared" si="19"/>
        <v>0.2</v>
      </c>
      <c r="G48" s="4">
        <f t="shared" si="14"/>
        <v>0.1</v>
      </c>
      <c r="H48" s="4">
        <f t="shared" si="15"/>
        <v>0</v>
      </c>
      <c r="I48" s="4">
        <f t="shared" si="13"/>
        <v>1</v>
      </c>
      <c r="J48" s="4">
        <f t="shared" si="16"/>
        <v>0.2</v>
      </c>
      <c r="K48" s="4">
        <f t="shared" si="17"/>
        <v>0.2</v>
      </c>
      <c r="L48" s="4">
        <v>0</v>
      </c>
      <c r="M48" s="4">
        <v>0.1</v>
      </c>
      <c r="N48" s="5">
        <v>0.5</v>
      </c>
    </row>
  </sheetData>
  <mergeCells count="13">
    <mergeCell ref="A1:N1"/>
    <mergeCell ref="A22:A25"/>
    <mergeCell ref="A20:N20"/>
    <mergeCell ref="A43:N43"/>
    <mergeCell ref="A3:A6"/>
    <mergeCell ref="A7:A10"/>
    <mergeCell ref="A11:A14"/>
    <mergeCell ref="A15:A18"/>
    <mergeCell ref="A45:A48"/>
    <mergeCell ref="A26:A29"/>
    <mergeCell ref="A30:A33"/>
    <mergeCell ref="A34:A37"/>
    <mergeCell ref="A38:A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C350-148A-4BE1-BEF2-34162135B54A}">
  <dimension ref="A1:N21"/>
  <sheetViews>
    <sheetView workbookViewId="0">
      <selection activeCell="K22" sqref="K22"/>
    </sheetView>
  </sheetViews>
  <sheetFormatPr defaultRowHeight="14.4" x14ac:dyDescent="0.3"/>
  <sheetData>
    <row r="1" spans="1:14" x14ac:dyDescent="0.3">
      <c r="A1" s="9" t="s">
        <v>11</v>
      </c>
      <c r="B1" s="10" t="s">
        <v>0</v>
      </c>
      <c r="C1" s="10" t="s">
        <v>1</v>
      </c>
      <c r="D1" s="11" t="s">
        <v>12</v>
      </c>
      <c r="E1" s="10" t="s">
        <v>2</v>
      </c>
      <c r="F1" s="10" t="s">
        <v>3</v>
      </c>
      <c r="G1" s="10" t="s">
        <v>9</v>
      </c>
      <c r="H1" s="11" t="s">
        <v>13</v>
      </c>
      <c r="I1" s="10" t="s">
        <v>10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</row>
    <row r="2" spans="1:14" x14ac:dyDescent="0.3">
      <c r="A2" s="35">
        <v>1</v>
      </c>
      <c r="B2" s="1">
        <v>0</v>
      </c>
      <c r="C2" s="1">
        <v>0</v>
      </c>
      <c r="D2" s="1">
        <v>0</v>
      </c>
      <c r="E2" s="1">
        <v>-0.3</v>
      </c>
      <c r="F2" s="1">
        <v>-0.5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-0.3</v>
      </c>
      <c r="K2" s="1">
        <f>F2+M2*I2*C2</f>
        <v>-0.5</v>
      </c>
      <c r="L2" s="1">
        <v>0</v>
      </c>
      <c r="M2" s="1">
        <v>0.2</v>
      </c>
      <c r="N2" s="2">
        <v>0.5</v>
      </c>
    </row>
    <row r="3" spans="1:14" x14ac:dyDescent="0.3">
      <c r="A3" s="36"/>
      <c r="B3">
        <v>0</v>
      </c>
      <c r="C3">
        <v>1</v>
      </c>
      <c r="D3">
        <v>1</v>
      </c>
      <c r="E3">
        <f>J2</f>
        <v>-0.3</v>
      </c>
      <c r="F3">
        <f>K2</f>
        <v>-0.5</v>
      </c>
      <c r="G3">
        <f t="shared" ref="G3:G21" si="0">B3*E3+C3*F3+L3</f>
        <v>-0.5</v>
      </c>
      <c r="H3">
        <f t="shared" ref="H3:H21" si="1">IF(G3&gt;N3, 1, 0)</f>
        <v>0</v>
      </c>
      <c r="I3">
        <f t="shared" ref="I3:I21" si="2">D3-H3</f>
        <v>1</v>
      </c>
      <c r="J3">
        <f t="shared" ref="J3:J21" si="3">E3+M3*I3*B3</f>
        <v>-0.3</v>
      </c>
      <c r="K3">
        <f t="shared" ref="K3:K21" si="4">F3+M3*I3*C3</f>
        <v>-0.3</v>
      </c>
      <c r="L3">
        <v>0</v>
      </c>
      <c r="M3">
        <v>0.2</v>
      </c>
      <c r="N3" s="3">
        <v>0.5</v>
      </c>
    </row>
    <row r="4" spans="1:14" x14ac:dyDescent="0.3">
      <c r="A4" s="36"/>
      <c r="B4">
        <v>1</v>
      </c>
      <c r="C4">
        <v>0</v>
      </c>
      <c r="D4">
        <v>1</v>
      </c>
      <c r="E4">
        <f t="shared" ref="E4:F19" si="5">J3</f>
        <v>-0.3</v>
      </c>
      <c r="F4">
        <f t="shared" si="5"/>
        <v>-0.3</v>
      </c>
      <c r="G4">
        <f t="shared" si="0"/>
        <v>-0.3</v>
      </c>
      <c r="H4">
        <f t="shared" si="1"/>
        <v>0</v>
      </c>
      <c r="I4">
        <f t="shared" si="2"/>
        <v>1</v>
      </c>
      <c r="J4">
        <f t="shared" si="3"/>
        <v>-9.9999999999999978E-2</v>
      </c>
      <c r="K4">
        <f t="shared" si="4"/>
        <v>-0.3</v>
      </c>
      <c r="L4">
        <v>0</v>
      </c>
      <c r="M4">
        <v>0.2</v>
      </c>
      <c r="N4" s="3">
        <v>0.5</v>
      </c>
    </row>
    <row r="5" spans="1:14" x14ac:dyDescent="0.3">
      <c r="A5" s="37"/>
      <c r="B5">
        <v>1</v>
      </c>
      <c r="C5">
        <v>1</v>
      </c>
      <c r="D5">
        <v>1</v>
      </c>
      <c r="E5">
        <f t="shared" si="5"/>
        <v>-9.9999999999999978E-2</v>
      </c>
      <c r="F5">
        <f t="shared" si="5"/>
        <v>-0.3</v>
      </c>
      <c r="G5">
        <f t="shared" si="0"/>
        <v>-0.39999999999999997</v>
      </c>
      <c r="H5">
        <f t="shared" si="1"/>
        <v>0</v>
      </c>
      <c r="I5">
        <f t="shared" si="2"/>
        <v>1</v>
      </c>
      <c r="J5">
        <f t="shared" si="3"/>
        <v>0.10000000000000003</v>
      </c>
      <c r="K5">
        <f t="shared" si="4"/>
        <v>-9.9999999999999978E-2</v>
      </c>
      <c r="L5">
        <v>0</v>
      </c>
      <c r="M5">
        <v>0.2</v>
      </c>
      <c r="N5" s="3">
        <v>0.5</v>
      </c>
    </row>
    <row r="6" spans="1:14" x14ac:dyDescent="0.3">
      <c r="A6" s="35">
        <v>2</v>
      </c>
      <c r="B6" s="1">
        <v>0</v>
      </c>
      <c r="C6" s="1">
        <v>0</v>
      </c>
      <c r="D6" s="1">
        <v>0</v>
      </c>
      <c r="E6" s="1">
        <f t="shared" si="5"/>
        <v>0.10000000000000003</v>
      </c>
      <c r="F6" s="1">
        <f t="shared" si="5"/>
        <v>-9.9999999999999978E-2</v>
      </c>
      <c r="G6" s="1">
        <f t="shared" si="0"/>
        <v>0</v>
      </c>
      <c r="H6" s="1">
        <f t="shared" si="1"/>
        <v>0</v>
      </c>
      <c r="I6" s="1">
        <f t="shared" si="2"/>
        <v>0</v>
      </c>
      <c r="J6" s="1">
        <f t="shared" si="3"/>
        <v>0.10000000000000003</v>
      </c>
      <c r="K6" s="1">
        <f t="shared" si="4"/>
        <v>-9.9999999999999978E-2</v>
      </c>
      <c r="L6" s="1">
        <v>0</v>
      </c>
      <c r="M6">
        <v>0.2</v>
      </c>
      <c r="N6" s="2">
        <v>0.5</v>
      </c>
    </row>
    <row r="7" spans="1:14" x14ac:dyDescent="0.3">
      <c r="A7" s="36"/>
      <c r="B7">
        <v>0</v>
      </c>
      <c r="C7">
        <v>1</v>
      </c>
      <c r="D7">
        <v>1</v>
      </c>
      <c r="E7">
        <f t="shared" si="5"/>
        <v>0.10000000000000003</v>
      </c>
      <c r="F7">
        <f t="shared" si="5"/>
        <v>-9.9999999999999978E-2</v>
      </c>
      <c r="G7">
        <f t="shared" si="0"/>
        <v>-9.9999999999999978E-2</v>
      </c>
      <c r="H7">
        <f t="shared" si="1"/>
        <v>0</v>
      </c>
      <c r="I7">
        <f t="shared" si="2"/>
        <v>1</v>
      </c>
      <c r="J7">
        <f t="shared" si="3"/>
        <v>0.10000000000000003</v>
      </c>
      <c r="K7">
        <f t="shared" si="4"/>
        <v>0.10000000000000003</v>
      </c>
      <c r="L7">
        <v>0</v>
      </c>
      <c r="M7">
        <v>0.2</v>
      </c>
      <c r="N7" s="3">
        <v>0.5</v>
      </c>
    </row>
    <row r="8" spans="1:14" x14ac:dyDescent="0.3">
      <c r="A8" s="36"/>
      <c r="B8">
        <v>1</v>
      </c>
      <c r="C8">
        <v>0</v>
      </c>
      <c r="D8">
        <v>1</v>
      </c>
      <c r="E8">
        <f t="shared" si="5"/>
        <v>0.10000000000000003</v>
      </c>
      <c r="F8">
        <f t="shared" si="5"/>
        <v>0.10000000000000003</v>
      </c>
      <c r="G8">
        <f t="shared" si="0"/>
        <v>0.10000000000000003</v>
      </c>
      <c r="H8">
        <f t="shared" si="1"/>
        <v>0</v>
      </c>
      <c r="I8">
        <f t="shared" si="2"/>
        <v>1</v>
      </c>
      <c r="J8">
        <f t="shared" si="3"/>
        <v>0.30000000000000004</v>
      </c>
      <c r="K8">
        <f t="shared" si="4"/>
        <v>0.10000000000000003</v>
      </c>
      <c r="L8">
        <v>0</v>
      </c>
      <c r="M8">
        <v>0.2</v>
      </c>
      <c r="N8" s="3">
        <v>0.5</v>
      </c>
    </row>
    <row r="9" spans="1:14" x14ac:dyDescent="0.3">
      <c r="A9" s="37"/>
      <c r="B9">
        <v>1</v>
      </c>
      <c r="C9">
        <v>1</v>
      </c>
      <c r="D9">
        <v>1</v>
      </c>
      <c r="E9">
        <f t="shared" si="5"/>
        <v>0.30000000000000004</v>
      </c>
      <c r="F9">
        <f t="shared" si="5"/>
        <v>0.10000000000000003</v>
      </c>
      <c r="G9">
        <f t="shared" si="0"/>
        <v>0.40000000000000008</v>
      </c>
      <c r="H9">
        <f t="shared" si="1"/>
        <v>0</v>
      </c>
      <c r="I9">
        <f t="shared" si="2"/>
        <v>1</v>
      </c>
      <c r="J9">
        <f t="shared" si="3"/>
        <v>0.5</v>
      </c>
      <c r="K9">
        <f t="shared" si="4"/>
        <v>0.30000000000000004</v>
      </c>
      <c r="L9">
        <v>0</v>
      </c>
      <c r="M9">
        <v>0.2</v>
      </c>
      <c r="N9" s="3">
        <v>0.5</v>
      </c>
    </row>
    <row r="10" spans="1:14" x14ac:dyDescent="0.3">
      <c r="A10" s="35">
        <v>3</v>
      </c>
      <c r="B10" s="1">
        <v>0</v>
      </c>
      <c r="C10" s="1">
        <v>0</v>
      </c>
      <c r="D10" s="1">
        <v>0</v>
      </c>
      <c r="E10" s="1">
        <f t="shared" si="5"/>
        <v>0.5</v>
      </c>
      <c r="F10" s="1">
        <f t="shared" si="5"/>
        <v>0.30000000000000004</v>
      </c>
      <c r="G10" s="1">
        <f t="shared" si="0"/>
        <v>0</v>
      </c>
      <c r="H10" s="1">
        <f t="shared" si="1"/>
        <v>0</v>
      </c>
      <c r="I10" s="1">
        <f t="shared" si="2"/>
        <v>0</v>
      </c>
      <c r="J10" s="1">
        <f t="shared" si="3"/>
        <v>0.5</v>
      </c>
      <c r="K10" s="1">
        <f t="shared" si="4"/>
        <v>0.30000000000000004</v>
      </c>
      <c r="L10" s="1">
        <v>0</v>
      </c>
      <c r="M10">
        <v>0.2</v>
      </c>
      <c r="N10" s="2">
        <v>0.5</v>
      </c>
    </row>
    <row r="11" spans="1:14" x14ac:dyDescent="0.3">
      <c r="A11" s="36"/>
      <c r="B11">
        <v>0</v>
      </c>
      <c r="C11">
        <v>1</v>
      </c>
      <c r="D11">
        <v>1</v>
      </c>
      <c r="E11">
        <f t="shared" si="5"/>
        <v>0.5</v>
      </c>
      <c r="F11">
        <f t="shared" si="5"/>
        <v>0.30000000000000004</v>
      </c>
      <c r="G11">
        <f t="shared" si="0"/>
        <v>0.30000000000000004</v>
      </c>
      <c r="H11">
        <f t="shared" si="1"/>
        <v>0</v>
      </c>
      <c r="I11">
        <f t="shared" si="2"/>
        <v>1</v>
      </c>
      <c r="J11">
        <f t="shared" si="3"/>
        <v>0.5</v>
      </c>
      <c r="K11">
        <f t="shared" si="4"/>
        <v>0.5</v>
      </c>
      <c r="L11">
        <v>0</v>
      </c>
      <c r="M11">
        <v>0.2</v>
      </c>
      <c r="N11" s="3">
        <v>0.5</v>
      </c>
    </row>
    <row r="12" spans="1:14" x14ac:dyDescent="0.3">
      <c r="A12" s="36"/>
      <c r="B12">
        <v>1</v>
      </c>
      <c r="C12">
        <v>0</v>
      </c>
      <c r="D12">
        <v>1</v>
      </c>
      <c r="E12">
        <f t="shared" si="5"/>
        <v>0.5</v>
      </c>
      <c r="F12">
        <f t="shared" si="5"/>
        <v>0.5</v>
      </c>
      <c r="G12">
        <f t="shared" si="0"/>
        <v>0.5</v>
      </c>
      <c r="H12">
        <f t="shared" si="1"/>
        <v>0</v>
      </c>
      <c r="I12">
        <f t="shared" si="2"/>
        <v>1</v>
      </c>
      <c r="J12">
        <f t="shared" si="3"/>
        <v>0.7</v>
      </c>
      <c r="K12">
        <f t="shared" si="4"/>
        <v>0.5</v>
      </c>
      <c r="L12">
        <v>0</v>
      </c>
      <c r="M12">
        <v>0.2</v>
      </c>
      <c r="N12" s="3">
        <v>0.5</v>
      </c>
    </row>
    <row r="13" spans="1:14" x14ac:dyDescent="0.3">
      <c r="A13" s="37"/>
      <c r="B13">
        <v>1</v>
      </c>
      <c r="C13">
        <v>1</v>
      </c>
      <c r="D13">
        <v>1</v>
      </c>
      <c r="E13">
        <f t="shared" si="5"/>
        <v>0.7</v>
      </c>
      <c r="F13">
        <f t="shared" si="5"/>
        <v>0.5</v>
      </c>
      <c r="G13">
        <f t="shared" si="0"/>
        <v>1.2</v>
      </c>
      <c r="H13">
        <f t="shared" si="1"/>
        <v>1</v>
      </c>
      <c r="I13">
        <f t="shared" si="2"/>
        <v>0</v>
      </c>
      <c r="J13">
        <f t="shared" si="3"/>
        <v>0.7</v>
      </c>
      <c r="K13">
        <f t="shared" si="4"/>
        <v>0.5</v>
      </c>
      <c r="L13">
        <v>0</v>
      </c>
      <c r="M13">
        <v>0.2</v>
      </c>
      <c r="N13" s="3">
        <v>0.5</v>
      </c>
    </row>
    <row r="14" spans="1:14" x14ac:dyDescent="0.3">
      <c r="A14" s="35">
        <v>4</v>
      </c>
      <c r="B14" s="1">
        <v>0</v>
      </c>
      <c r="C14" s="1">
        <v>0</v>
      </c>
      <c r="D14" s="1">
        <v>0</v>
      </c>
      <c r="E14" s="1">
        <f t="shared" si="5"/>
        <v>0.7</v>
      </c>
      <c r="F14" s="1">
        <f t="shared" si="5"/>
        <v>0.5</v>
      </c>
      <c r="G14" s="1">
        <f t="shared" si="0"/>
        <v>0</v>
      </c>
      <c r="H14" s="1">
        <f t="shared" si="1"/>
        <v>0</v>
      </c>
      <c r="I14" s="1">
        <f t="shared" si="2"/>
        <v>0</v>
      </c>
      <c r="J14" s="1">
        <f t="shared" si="3"/>
        <v>0.7</v>
      </c>
      <c r="K14" s="1">
        <f t="shared" si="4"/>
        <v>0.5</v>
      </c>
      <c r="L14" s="1">
        <v>0</v>
      </c>
      <c r="M14">
        <v>0.2</v>
      </c>
      <c r="N14" s="2">
        <v>0.5</v>
      </c>
    </row>
    <row r="15" spans="1:14" x14ac:dyDescent="0.3">
      <c r="A15" s="36"/>
      <c r="B15">
        <v>0</v>
      </c>
      <c r="C15">
        <v>1</v>
      </c>
      <c r="D15">
        <v>1</v>
      </c>
      <c r="E15">
        <f t="shared" si="5"/>
        <v>0.7</v>
      </c>
      <c r="F15">
        <f t="shared" si="5"/>
        <v>0.5</v>
      </c>
      <c r="G15">
        <f t="shared" si="0"/>
        <v>0.5</v>
      </c>
      <c r="H15">
        <f t="shared" si="1"/>
        <v>0</v>
      </c>
      <c r="I15">
        <f t="shared" si="2"/>
        <v>1</v>
      </c>
      <c r="J15">
        <f t="shared" si="3"/>
        <v>0.7</v>
      </c>
      <c r="K15">
        <f t="shared" si="4"/>
        <v>0.7</v>
      </c>
      <c r="L15">
        <v>0</v>
      </c>
      <c r="M15">
        <v>0.2</v>
      </c>
      <c r="N15" s="3">
        <v>0.5</v>
      </c>
    </row>
    <row r="16" spans="1:14" x14ac:dyDescent="0.3">
      <c r="A16" s="36"/>
      <c r="B16">
        <v>1</v>
      </c>
      <c r="C16">
        <v>0</v>
      </c>
      <c r="D16">
        <v>1</v>
      </c>
      <c r="E16">
        <f t="shared" si="5"/>
        <v>0.7</v>
      </c>
      <c r="F16">
        <f t="shared" si="5"/>
        <v>0.7</v>
      </c>
      <c r="G16">
        <f t="shared" si="0"/>
        <v>0.7</v>
      </c>
      <c r="H16">
        <f t="shared" si="1"/>
        <v>1</v>
      </c>
      <c r="I16">
        <f t="shared" si="2"/>
        <v>0</v>
      </c>
      <c r="J16">
        <f t="shared" si="3"/>
        <v>0.7</v>
      </c>
      <c r="K16">
        <f t="shared" si="4"/>
        <v>0.7</v>
      </c>
      <c r="L16">
        <v>0</v>
      </c>
      <c r="M16">
        <v>0.2</v>
      </c>
      <c r="N16" s="3">
        <v>0.5</v>
      </c>
    </row>
    <row r="17" spans="1:14" x14ac:dyDescent="0.3">
      <c r="A17" s="37"/>
      <c r="B17">
        <v>1</v>
      </c>
      <c r="C17">
        <v>1</v>
      </c>
      <c r="D17">
        <v>1</v>
      </c>
      <c r="E17">
        <f t="shared" si="5"/>
        <v>0.7</v>
      </c>
      <c r="F17">
        <f t="shared" si="5"/>
        <v>0.7</v>
      </c>
      <c r="G17">
        <f t="shared" si="0"/>
        <v>1.4</v>
      </c>
      <c r="H17">
        <f t="shared" si="1"/>
        <v>1</v>
      </c>
      <c r="I17">
        <f t="shared" si="2"/>
        <v>0</v>
      </c>
      <c r="J17">
        <f t="shared" si="3"/>
        <v>0.7</v>
      </c>
      <c r="K17">
        <f t="shared" si="4"/>
        <v>0.7</v>
      </c>
      <c r="L17">
        <v>0</v>
      </c>
      <c r="M17">
        <v>0.2</v>
      </c>
      <c r="N17" s="3">
        <v>0.5</v>
      </c>
    </row>
    <row r="18" spans="1:14" x14ac:dyDescent="0.3">
      <c r="A18" s="35">
        <v>5</v>
      </c>
      <c r="B18" s="1">
        <v>0</v>
      </c>
      <c r="C18" s="1">
        <v>0</v>
      </c>
      <c r="D18" s="1">
        <v>0</v>
      </c>
      <c r="E18" s="1">
        <f t="shared" si="5"/>
        <v>0.7</v>
      </c>
      <c r="F18" s="1">
        <f t="shared" si="5"/>
        <v>0.7</v>
      </c>
      <c r="G18" s="1">
        <f t="shared" si="0"/>
        <v>0</v>
      </c>
      <c r="H18" s="1">
        <f t="shared" si="1"/>
        <v>0</v>
      </c>
      <c r="I18" s="1">
        <f t="shared" si="2"/>
        <v>0</v>
      </c>
      <c r="J18" s="1">
        <f t="shared" si="3"/>
        <v>0.7</v>
      </c>
      <c r="K18" s="1">
        <f t="shared" si="4"/>
        <v>0.7</v>
      </c>
      <c r="L18" s="1">
        <v>0</v>
      </c>
      <c r="M18">
        <v>0.2</v>
      </c>
      <c r="N18" s="2">
        <v>0.5</v>
      </c>
    </row>
    <row r="19" spans="1:14" x14ac:dyDescent="0.3">
      <c r="A19" s="36"/>
      <c r="B19">
        <v>0</v>
      </c>
      <c r="C19">
        <v>1</v>
      </c>
      <c r="D19">
        <v>1</v>
      </c>
      <c r="E19">
        <f t="shared" si="5"/>
        <v>0.7</v>
      </c>
      <c r="F19">
        <f t="shared" si="5"/>
        <v>0.7</v>
      </c>
      <c r="G19">
        <f t="shared" si="0"/>
        <v>0.7</v>
      </c>
      <c r="H19">
        <f t="shared" si="1"/>
        <v>1</v>
      </c>
      <c r="I19">
        <f t="shared" si="2"/>
        <v>0</v>
      </c>
      <c r="J19">
        <f t="shared" si="3"/>
        <v>0.7</v>
      </c>
      <c r="K19">
        <f t="shared" si="4"/>
        <v>0.7</v>
      </c>
      <c r="L19">
        <v>0</v>
      </c>
      <c r="M19">
        <v>0.2</v>
      </c>
      <c r="N19" s="3">
        <v>0.5</v>
      </c>
    </row>
    <row r="20" spans="1:14" x14ac:dyDescent="0.3">
      <c r="A20" s="36"/>
      <c r="B20">
        <v>1</v>
      </c>
      <c r="C20">
        <v>0</v>
      </c>
      <c r="D20">
        <v>1</v>
      </c>
      <c r="E20">
        <f t="shared" ref="E20:F21" si="6">J19</f>
        <v>0.7</v>
      </c>
      <c r="F20">
        <f t="shared" si="6"/>
        <v>0.7</v>
      </c>
      <c r="G20">
        <f t="shared" si="0"/>
        <v>0.7</v>
      </c>
      <c r="H20">
        <f t="shared" si="1"/>
        <v>1</v>
      </c>
      <c r="I20">
        <f t="shared" si="2"/>
        <v>0</v>
      </c>
      <c r="J20">
        <f t="shared" si="3"/>
        <v>0.7</v>
      </c>
      <c r="K20">
        <f t="shared" si="4"/>
        <v>0.7</v>
      </c>
      <c r="L20">
        <v>0</v>
      </c>
      <c r="M20">
        <v>0.2</v>
      </c>
      <c r="N20" s="3">
        <v>0.5</v>
      </c>
    </row>
    <row r="21" spans="1:14" x14ac:dyDescent="0.3">
      <c r="A21" s="37"/>
      <c r="B21" s="4">
        <v>1</v>
      </c>
      <c r="C21" s="4">
        <v>1</v>
      </c>
      <c r="D21" s="4">
        <v>1</v>
      </c>
      <c r="E21" s="4">
        <f t="shared" si="6"/>
        <v>0.7</v>
      </c>
      <c r="F21" s="4">
        <f t="shared" si="6"/>
        <v>0.7</v>
      </c>
      <c r="G21" s="4">
        <f t="shared" si="0"/>
        <v>1.4</v>
      </c>
      <c r="H21" s="4">
        <f t="shared" si="1"/>
        <v>1</v>
      </c>
      <c r="I21" s="4">
        <f t="shared" si="2"/>
        <v>0</v>
      </c>
      <c r="J21" s="4">
        <f t="shared" si="3"/>
        <v>0.7</v>
      </c>
      <c r="K21" s="4">
        <f t="shared" si="4"/>
        <v>0.7</v>
      </c>
      <c r="L21" s="4">
        <v>0</v>
      </c>
      <c r="M21" s="4">
        <v>0.2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549D-4D52-4869-8B40-D5DFAFFE0FE1}">
  <dimension ref="A1:N17"/>
  <sheetViews>
    <sheetView workbookViewId="0">
      <selection activeCell="H14" sqref="H14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0</v>
      </c>
      <c r="E2" s="1">
        <v>-0.7</v>
      </c>
      <c r="F2" s="1">
        <v>-0.8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-0.7</v>
      </c>
      <c r="K2" s="1">
        <f>F2+M2*I2*C2</f>
        <v>-0.8</v>
      </c>
      <c r="L2" s="1">
        <v>0</v>
      </c>
      <c r="M2" s="1">
        <v>0.4</v>
      </c>
      <c r="N2" s="2">
        <v>0.5</v>
      </c>
    </row>
    <row r="3" spans="1:14" x14ac:dyDescent="0.3">
      <c r="A3" s="19"/>
      <c r="B3">
        <v>0</v>
      </c>
      <c r="C3">
        <v>1</v>
      </c>
      <c r="D3">
        <v>0</v>
      </c>
      <c r="E3">
        <f>J2</f>
        <v>-0.7</v>
      </c>
      <c r="F3">
        <f>K2</f>
        <v>-0.8</v>
      </c>
      <c r="G3">
        <f>B3*E3+C3*F3+L3</f>
        <v>-0.8</v>
      </c>
      <c r="H3">
        <f>IF(G3&gt;N3, 1, 0)</f>
        <v>0</v>
      </c>
      <c r="I3">
        <f>D3-H3</f>
        <v>0</v>
      </c>
      <c r="J3">
        <f>E3+M3*I3*B3</f>
        <v>-0.7</v>
      </c>
      <c r="K3">
        <f>F3+M3*I3*C3</f>
        <v>-0.8</v>
      </c>
      <c r="L3">
        <v>0</v>
      </c>
      <c r="M3" s="1">
        <v>0.4</v>
      </c>
      <c r="N3" s="3">
        <v>0.5</v>
      </c>
    </row>
    <row r="4" spans="1:14" x14ac:dyDescent="0.3">
      <c r="A4" s="19"/>
      <c r="B4">
        <v>1</v>
      </c>
      <c r="C4">
        <v>0</v>
      </c>
      <c r="D4">
        <v>0</v>
      </c>
      <c r="E4">
        <f t="shared" ref="E4:F17" si="0">J3</f>
        <v>-0.7</v>
      </c>
      <c r="F4">
        <f t="shared" si="0"/>
        <v>-0.8</v>
      </c>
      <c r="G4">
        <f t="shared" ref="G4:G17" si="1">B4*E4+C4*F4+L4</f>
        <v>-0.7</v>
      </c>
      <c r="H4">
        <f t="shared" ref="H4:H17" si="2">IF(G4&gt;N4, 1, 0)</f>
        <v>0</v>
      </c>
      <c r="I4">
        <f t="shared" ref="I4:I17" si="3">D4-H4</f>
        <v>0</v>
      </c>
      <c r="J4">
        <f t="shared" ref="J4:J17" si="4">E4+M4*I4*B4</f>
        <v>-0.7</v>
      </c>
      <c r="K4">
        <f t="shared" ref="K4:K17" si="5">F4+M4*I4*C4</f>
        <v>-0.8</v>
      </c>
      <c r="L4">
        <v>0</v>
      </c>
      <c r="M4" s="1">
        <v>0.4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1</v>
      </c>
      <c r="E5" s="4">
        <f t="shared" si="0"/>
        <v>-0.7</v>
      </c>
      <c r="F5" s="4">
        <f t="shared" si="0"/>
        <v>-0.8</v>
      </c>
      <c r="G5" s="4">
        <f t="shared" si="1"/>
        <v>-1.5</v>
      </c>
      <c r="H5" s="4">
        <f t="shared" si="2"/>
        <v>0</v>
      </c>
      <c r="I5" s="4">
        <f t="shared" si="3"/>
        <v>1</v>
      </c>
      <c r="J5" s="4">
        <f t="shared" si="4"/>
        <v>-0.29999999999999993</v>
      </c>
      <c r="K5" s="4">
        <f t="shared" si="5"/>
        <v>-0.4</v>
      </c>
      <c r="L5" s="4">
        <v>0</v>
      </c>
      <c r="M5" s="1">
        <v>0.4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0</v>
      </c>
      <c r="E6" s="1">
        <f t="shared" si="0"/>
        <v>-0.29999999999999993</v>
      </c>
      <c r="F6" s="1">
        <f t="shared" si="0"/>
        <v>-0.4</v>
      </c>
      <c r="G6" s="1">
        <f t="shared" si="1"/>
        <v>0</v>
      </c>
      <c r="H6" s="1">
        <f t="shared" si="2"/>
        <v>0</v>
      </c>
      <c r="I6" s="1">
        <f t="shared" si="3"/>
        <v>0</v>
      </c>
      <c r="J6" s="1">
        <f t="shared" si="4"/>
        <v>-0.29999999999999993</v>
      </c>
      <c r="K6" s="1">
        <f t="shared" si="5"/>
        <v>-0.4</v>
      </c>
      <c r="L6" s="1">
        <v>0</v>
      </c>
      <c r="M6" s="1">
        <v>0.4</v>
      </c>
      <c r="N6" s="2">
        <v>0.5</v>
      </c>
    </row>
    <row r="7" spans="1:14" x14ac:dyDescent="0.3">
      <c r="A7" s="19"/>
      <c r="B7">
        <v>0</v>
      </c>
      <c r="C7">
        <v>1</v>
      </c>
      <c r="D7">
        <v>0</v>
      </c>
      <c r="E7">
        <f t="shared" si="0"/>
        <v>-0.29999999999999993</v>
      </c>
      <c r="F7">
        <f t="shared" si="0"/>
        <v>-0.4</v>
      </c>
      <c r="G7">
        <f t="shared" si="1"/>
        <v>-0.4</v>
      </c>
      <c r="H7">
        <f t="shared" si="2"/>
        <v>0</v>
      </c>
      <c r="I7">
        <f t="shared" si="3"/>
        <v>0</v>
      </c>
      <c r="J7">
        <f t="shared" si="4"/>
        <v>-0.29999999999999993</v>
      </c>
      <c r="K7">
        <f t="shared" si="5"/>
        <v>-0.4</v>
      </c>
      <c r="L7">
        <v>0</v>
      </c>
      <c r="M7" s="1">
        <v>0.4</v>
      </c>
      <c r="N7" s="3">
        <v>0.5</v>
      </c>
    </row>
    <row r="8" spans="1:14" x14ac:dyDescent="0.3">
      <c r="A8" s="19"/>
      <c r="B8">
        <v>1</v>
      </c>
      <c r="C8">
        <v>0</v>
      </c>
      <c r="D8">
        <v>0</v>
      </c>
      <c r="E8">
        <f t="shared" si="0"/>
        <v>-0.29999999999999993</v>
      </c>
      <c r="F8">
        <f t="shared" si="0"/>
        <v>-0.4</v>
      </c>
      <c r="G8">
        <f t="shared" si="1"/>
        <v>-0.29999999999999993</v>
      </c>
      <c r="H8">
        <f t="shared" si="2"/>
        <v>0</v>
      </c>
      <c r="I8">
        <f t="shared" si="3"/>
        <v>0</v>
      </c>
      <c r="J8">
        <f t="shared" si="4"/>
        <v>-0.29999999999999993</v>
      </c>
      <c r="K8">
        <f t="shared" si="5"/>
        <v>-0.4</v>
      </c>
      <c r="L8">
        <v>0</v>
      </c>
      <c r="M8" s="1">
        <v>0.4</v>
      </c>
      <c r="N8" s="3">
        <v>0.5</v>
      </c>
    </row>
    <row r="9" spans="1:14" x14ac:dyDescent="0.3">
      <c r="A9" s="19"/>
      <c r="B9">
        <v>1</v>
      </c>
      <c r="C9">
        <v>1</v>
      </c>
      <c r="D9">
        <v>1</v>
      </c>
      <c r="E9">
        <f t="shared" si="0"/>
        <v>-0.29999999999999993</v>
      </c>
      <c r="F9">
        <f t="shared" si="0"/>
        <v>-0.4</v>
      </c>
      <c r="G9">
        <f t="shared" si="1"/>
        <v>-0.7</v>
      </c>
      <c r="H9">
        <f t="shared" si="2"/>
        <v>0</v>
      </c>
      <c r="I9">
        <f t="shared" si="3"/>
        <v>1</v>
      </c>
      <c r="J9">
        <f t="shared" si="4"/>
        <v>0.10000000000000009</v>
      </c>
      <c r="K9">
        <f t="shared" si="5"/>
        <v>0</v>
      </c>
      <c r="L9">
        <v>0</v>
      </c>
      <c r="M9" s="1">
        <v>0.4</v>
      </c>
      <c r="N9" s="3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0</v>
      </c>
      <c r="E10" s="1">
        <f t="shared" si="0"/>
        <v>0.10000000000000009</v>
      </c>
      <c r="F10" s="1">
        <f t="shared" si="0"/>
        <v>0</v>
      </c>
      <c r="G10" s="1">
        <f t="shared" si="1"/>
        <v>0</v>
      </c>
      <c r="H10" s="1">
        <f t="shared" si="2"/>
        <v>0</v>
      </c>
      <c r="I10" s="1">
        <f t="shared" si="3"/>
        <v>0</v>
      </c>
      <c r="J10" s="1">
        <f t="shared" si="4"/>
        <v>0.10000000000000009</v>
      </c>
      <c r="K10" s="1">
        <f t="shared" si="5"/>
        <v>0</v>
      </c>
      <c r="L10" s="1">
        <v>0</v>
      </c>
      <c r="M10" s="1">
        <v>0.4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0</v>
      </c>
      <c r="E11">
        <f t="shared" si="0"/>
        <v>0.10000000000000009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0</v>
      </c>
      <c r="J11">
        <f t="shared" si="4"/>
        <v>0.10000000000000009</v>
      </c>
      <c r="K11">
        <f t="shared" si="5"/>
        <v>0</v>
      </c>
      <c r="L11">
        <v>0</v>
      </c>
      <c r="M11" s="1">
        <v>0.4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0</v>
      </c>
      <c r="E12">
        <f t="shared" si="0"/>
        <v>0.10000000000000009</v>
      </c>
      <c r="F12">
        <f t="shared" si="0"/>
        <v>0</v>
      </c>
      <c r="G12">
        <f t="shared" si="1"/>
        <v>0.10000000000000009</v>
      </c>
      <c r="H12">
        <f t="shared" si="2"/>
        <v>0</v>
      </c>
      <c r="I12">
        <f t="shared" si="3"/>
        <v>0</v>
      </c>
      <c r="J12">
        <f t="shared" si="4"/>
        <v>0.10000000000000009</v>
      </c>
      <c r="K12">
        <f t="shared" si="5"/>
        <v>0</v>
      </c>
      <c r="L12">
        <v>0</v>
      </c>
      <c r="M12" s="1">
        <v>0.4</v>
      </c>
      <c r="N12" s="3">
        <v>0.5</v>
      </c>
    </row>
    <row r="13" spans="1:14" x14ac:dyDescent="0.3">
      <c r="A13" s="19"/>
      <c r="B13">
        <v>1</v>
      </c>
      <c r="C13">
        <v>1</v>
      </c>
      <c r="D13">
        <v>1</v>
      </c>
      <c r="E13">
        <f t="shared" si="0"/>
        <v>0.10000000000000009</v>
      </c>
      <c r="F13">
        <f t="shared" si="0"/>
        <v>0</v>
      </c>
      <c r="G13">
        <f t="shared" si="1"/>
        <v>0.10000000000000009</v>
      </c>
      <c r="H13">
        <f t="shared" si="2"/>
        <v>0</v>
      </c>
      <c r="I13">
        <f t="shared" si="3"/>
        <v>1</v>
      </c>
      <c r="J13">
        <f t="shared" si="4"/>
        <v>0.50000000000000011</v>
      </c>
      <c r="K13">
        <f t="shared" si="5"/>
        <v>0.4</v>
      </c>
      <c r="L13">
        <v>0</v>
      </c>
      <c r="M13" s="1">
        <v>0.4</v>
      </c>
      <c r="N13" s="3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0</v>
      </c>
      <c r="E14" s="1">
        <f t="shared" si="0"/>
        <v>0.50000000000000011</v>
      </c>
      <c r="F14" s="1">
        <f t="shared" si="0"/>
        <v>0.4</v>
      </c>
      <c r="G14" s="1">
        <f t="shared" si="1"/>
        <v>0</v>
      </c>
      <c r="H14" s="1">
        <f t="shared" si="2"/>
        <v>0</v>
      </c>
      <c r="I14" s="1">
        <f t="shared" si="3"/>
        <v>0</v>
      </c>
      <c r="J14" s="1">
        <f t="shared" si="4"/>
        <v>0.50000000000000011</v>
      </c>
      <c r="K14" s="1">
        <f t="shared" si="5"/>
        <v>0.4</v>
      </c>
      <c r="L14" s="1">
        <v>0</v>
      </c>
      <c r="M14" s="1">
        <v>0.4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0</v>
      </c>
      <c r="E15">
        <f t="shared" si="0"/>
        <v>0.50000000000000011</v>
      </c>
      <c r="F15">
        <f t="shared" si="0"/>
        <v>0.4</v>
      </c>
      <c r="G15">
        <f t="shared" si="1"/>
        <v>0.4</v>
      </c>
      <c r="H15">
        <f t="shared" si="2"/>
        <v>0</v>
      </c>
      <c r="I15">
        <f t="shared" si="3"/>
        <v>0</v>
      </c>
      <c r="J15">
        <f t="shared" si="4"/>
        <v>0.50000000000000011</v>
      </c>
      <c r="K15">
        <f t="shared" si="5"/>
        <v>0.4</v>
      </c>
      <c r="L15">
        <v>0</v>
      </c>
      <c r="M15" s="1">
        <v>0.4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0</v>
      </c>
      <c r="E16">
        <f t="shared" si="0"/>
        <v>0.50000000000000011</v>
      </c>
      <c r="F16">
        <f t="shared" si="0"/>
        <v>0.4</v>
      </c>
      <c r="G16">
        <f t="shared" si="1"/>
        <v>0.50000000000000011</v>
      </c>
      <c r="H16">
        <f t="shared" si="2"/>
        <v>0</v>
      </c>
      <c r="I16">
        <f t="shared" si="3"/>
        <v>0</v>
      </c>
      <c r="J16">
        <f t="shared" si="4"/>
        <v>0.50000000000000011</v>
      </c>
      <c r="K16">
        <f t="shared" si="5"/>
        <v>0.4</v>
      </c>
      <c r="L16">
        <v>0</v>
      </c>
      <c r="M16" s="1">
        <v>0.4</v>
      </c>
      <c r="N16" s="3">
        <v>0.5</v>
      </c>
    </row>
    <row r="17" spans="1:14" x14ac:dyDescent="0.3">
      <c r="A17" s="20"/>
      <c r="B17" s="4">
        <v>1</v>
      </c>
      <c r="C17" s="4">
        <v>1</v>
      </c>
      <c r="D17" s="4">
        <v>1</v>
      </c>
      <c r="E17" s="4">
        <f t="shared" si="0"/>
        <v>0.50000000000000011</v>
      </c>
      <c r="F17" s="4">
        <f t="shared" si="0"/>
        <v>0.4</v>
      </c>
      <c r="G17" s="4">
        <f t="shared" si="1"/>
        <v>0.90000000000000013</v>
      </c>
      <c r="H17" s="4">
        <f t="shared" si="2"/>
        <v>1</v>
      </c>
      <c r="I17" s="4">
        <f t="shared" si="3"/>
        <v>0</v>
      </c>
      <c r="J17" s="4">
        <f t="shared" si="4"/>
        <v>0.50000000000000011</v>
      </c>
      <c r="K17" s="4">
        <f t="shared" si="5"/>
        <v>0.4</v>
      </c>
      <c r="L17" s="4">
        <v>0</v>
      </c>
      <c r="M17" s="1">
        <v>0.4</v>
      </c>
      <c r="N17" s="5">
        <v>0.5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021C-935A-4DF3-84E1-10B31A54B0A0}">
  <dimension ref="A1:N57"/>
  <sheetViews>
    <sheetView workbookViewId="0">
      <selection activeCell="G6" sqref="G6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1</v>
      </c>
      <c r="E2" s="1">
        <v>-0.7</v>
      </c>
      <c r="F2" s="1">
        <v>-0.8</v>
      </c>
      <c r="G2" s="1">
        <f>B2*E2+C2*F2+L2</f>
        <v>0.8</v>
      </c>
      <c r="H2" s="1">
        <f>IF(G2&gt;N2, 1, 0)</f>
        <v>1</v>
      </c>
      <c r="I2" s="1">
        <f>D2-H2</f>
        <v>0</v>
      </c>
      <c r="J2" s="1">
        <f>E2+M2*I2*B2</f>
        <v>-0.7</v>
      </c>
      <c r="K2" s="1">
        <f>F2+M2*I2*C2</f>
        <v>-0.8</v>
      </c>
      <c r="L2" s="1">
        <v>0.8</v>
      </c>
      <c r="M2" s="1">
        <v>0.4</v>
      </c>
      <c r="N2" s="2">
        <v>0.5</v>
      </c>
    </row>
    <row r="3" spans="1:14" x14ac:dyDescent="0.3">
      <c r="A3" s="19"/>
      <c r="B3">
        <v>0</v>
      </c>
      <c r="C3">
        <v>1</v>
      </c>
      <c r="D3">
        <v>1</v>
      </c>
      <c r="E3">
        <f>J2</f>
        <v>-0.7</v>
      </c>
      <c r="F3">
        <f>K2</f>
        <v>-0.8</v>
      </c>
      <c r="G3">
        <f>B3*E3+C3*F3+L3</f>
        <v>0</v>
      </c>
      <c r="H3">
        <f>IF(G3&gt;N3, 1, 0)</f>
        <v>0</v>
      </c>
      <c r="I3">
        <f>D3-H3</f>
        <v>1</v>
      </c>
      <c r="J3">
        <f>E3+M3*I3*B3</f>
        <v>-0.7</v>
      </c>
      <c r="K3">
        <f>F3+M3*I3*C3</f>
        <v>-0.4</v>
      </c>
      <c r="L3" s="1">
        <v>0.8</v>
      </c>
      <c r="M3" s="1">
        <v>0.4</v>
      </c>
      <c r="N3" s="3">
        <v>0.5</v>
      </c>
    </row>
    <row r="4" spans="1:14" x14ac:dyDescent="0.3">
      <c r="A4" s="19"/>
      <c r="B4">
        <v>1</v>
      </c>
      <c r="C4">
        <v>0</v>
      </c>
      <c r="D4">
        <v>1</v>
      </c>
      <c r="E4">
        <f t="shared" ref="E4:F19" si="0">J3</f>
        <v>-0.7</v>
      </c>
      <c r="F4">
        <f t="shared" si="0"/>
        <v>-0.4</v>
      </c>
      <c r="G4">
        <f t="shared" ref="G4:G21" si="1">B4*E4+C4*F4+L4</f>
        <v>0.10000000000000009</v>
      </c>
      <c r="H4">
        <f t="shared" ref="H4:H21" si="2">IF(G4&gt;N4, 1, 0)</f>
        <v>0</v>
      </c>
      <c r="I4">
        <f t="shared" ref="I4:I21" si="3">D4-H4</f>
        <v>1</v>
      </c>
      <c r="J4">
        <f t="shared" ref="J4:J21" si="4">E4+M4*I4*B4</f>
        <v>-0.29999999999999993</v>
      </c>
      <c r="K4">
        <f t="shared" ref="K4:K21" si="5">F4+M4*I4*C4</f>
        <v>-0.4</v>
      </c>
      <c r="L4" s="1">
        <v>0.8</v>
      </c>
      <c r="M4" s="1">
        <v>0.4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0</v>
      </c>
      <c r="E5" s="4">
        <f t="shared" si="0"/>
        <v>-0.29999999999999993</v>
      </c>
      <c r="F5" s="4">
        <f t="shared" si="0"/>
        <v>-0.4</v>
      </c>
      <c r="G5" s="4">
        <f t="shared" si="1"/>
        <v>0.10000000000000009</v>
      </c>
      <c r="H5" s="4">
        <f t="shared" si="2"/>
        <v>0</v>
      </c>
      <c r="I5" s="4">
        <f t="shared" si="3"/>
        <v>0</v>
      </c>
      <c r="J5" s="4">
        <f t="shared" si="4"/>
        <v>-0.29999999999999993</v>
      </c>
      <c r="K5" s="4">
        <f t="shared" si="5"/>
        <v>-0.4</v>
      </c>
      <c r="L5" s="1">
        <v>0.8</v>
      </c>
      <c r="M5" s="1">
        <v>0.4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1</v>
      </c>
      <c r="E6" s="1">
        <f t="shared" si="0"/>
        <v>-0.29999999999999993</v>
      </c>
      <c r="F6" s="1">
        <f t="shared" si="0"/>
        <v>-0.4</v>
      </c>
      <c r="G6" s="1">
        <f t="shared" si="1"/>
        <v>0.8</v>
      </c>
      <c r="H6" s="1">
        <f t="shared" si="2"/>
        <v>1</v>
      </c>
      <c r="I6" s="1">
        <f t="shared" si="3"/>
        <v>0</v>
      </c>
      <c r="J6" s="1">
        <f t="shared" si="4"/>
        <v>-0.29999999999999993</v>
      </c>
      <c r="K6" s="1">
        <f t="shared" si="5"/>
        <v>-0.4</v>
      </c>
      <c r="L6" s="1">
        <v>0.8</v>
      </c>
      <c r="M6" s="1">
        <v>0.4</v>
      </c>
      <c r="N6" s="2">
        <v>0.5</v>
      </c>
    </row>
    <row r="7" spans="1:14" x14ac:dyDescent="0.3">
      <c r="A7" s="19"/>
      <c r="B7">
        <v>0</v>
      </c>
      <c r="C7">
        <v>1</v>
      </c>
      <c r="D7">
        <v>1</v>
      </c>
      <c r="E7">
        <f t="shared" si="0"/>
        <v>-0.29999999999999993</v>
      </c>
      <c r="F7">
        <f t="shared" si="0"/>
        <v>-0.4</v>
      </c>
      <c r="G7">
        <f t="shared" si="1"/>
        <v>0.4</v>
      </c>
      <c r="H7">
        <f t="shared" si="2"/>
        <v>0</v>
      </c>
      <c r="I7">
        <f t="shared" si="3"/>
        <v>1</v>
      </c>
      <c r="J7">
        <f t="shared" si="4"/>
        <v>-0.29999999999999993</v>
      </c>
      <c r="K7">
        <f t="shared" si="5"/>
        <v>0</v>
      </c>
      <c r="L7" s="1">
        <v>0.8</v>
      </c>
      <c r="M7" s="1">
        <v>0.4</v>
      </c>
      <c r="N7" s="3">
        <v>0.5</v>
      </c>
    </row>
    <row r="8" spans="1:14" x14ac:dyDescent="0.3">
      <c r="A8" s="19"/>
      <c r="B8">
        <v>1</v>
      </c>
      <c r="C8">
        <v>0</v>
      </c>
      <c r="D8">
        <v>1</v>
      </c>
      <c r="E8">
        <f t="shared" si="0"/>
        <v>-0.29999999999999993</v>
      </c>
      <c r="F8">
        <f t="shared" si="0"/>
        <v>0</v>
      </c>
      <c r="G8">
        <f t="shared" si="1"/>
        <v>0.50000000000000011</v>
      </c>
      <c r="H8">
        <f t="shared" si="2"/>
        <v>0</v>
      </c>
      <c r="I8">
        <f t="shared" si="3"/>
        <v>1</v>
      </c>
      <c r="J8">
        <f t="shared" si="4"/>
        <v>0.10000000000000009</v>
      </c>
      <c r="K8">
        <f t="shared" si="5"/>
        <v>0</v>
      </c>
      <c r="L8" s="1">
        <v>0.8</v>
      </c>
      <c r="M8" s="1">
        <v>0.4</v>
      </c>
      <c r="N8" s="3">
        <v>0.5</v>
      </c>
    </row>
    <row r="9" spans="1:14" x14ac:dyDescent="0.3">
      <c r="A9" s="20"/>
      <c r="B9" s="4">
        <v>1</v>
      </c>
      <c r="C9" s="4">
        <v>1</v>
      </c>
      <c r="D9" s="4">
        <v>0</v>
      </c>
      <c r="E9" s="4">
        <f t="shared" si="0"/>
        <v>0.10000000000000009</v>
      </c>
      <c r="F9" s="4">
        <f t="shared" si="0"/>
        <v>0</v>
      </c>
      <c r="G9" s="4">
        <f t="shared" si="1"/>
        <v>0.90000000000000013</v>
      </c>
      <c r="H9" s="4">
        <f t="shared" si="2"/>
        <v>1</v>
      </c>
      <c r="I9" s="4">
        <f t="shared" si="3"/>
        <v>-1</v>
      </c>
      <c r="J9" s="4">
        <f t="shared" si="4"/>
        <v>-0.29999999999999993</v>
      </c>
      <c r="K9" s="4">
        <f t="shared" si="5"/>
        <v>-0.4</v>
      </c>
      <c r="L9" s="1">
        <v>0.8</v>
      </c>
      <c r="M9" s="1">
        <v>0.4</v>
      </c>
      <c r="N9" s="5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1</v>
      </c>
      <c r="E10" s="1">
        <f t="shared" si="0"/>
        <v>-0.29999999999999993</v>
      </c>
      <c r="F10" s="1">
        <f t="shared" si="0"/>
        <v>-0.4</v>
      </c>
      <c r="G10" s="1">
        <f t="shared" si="1"/>
        <v>0.8</v>
      </c>
      <c r="H10" s="1">
        <f t="shared" si="2"/>
        <v>1</v>
      </c>
      <c r="I10" s="1">
        <f t="shared" si="3"/>
        <v>0</v>
      </c>
      <c r="J10" s="1">
        <f t="shared" si="4"/>
        <v>-0.29999999999999993</v>
      </c>
      <c r="K10" s="1">
        <f t="shared" si="5"/>
        <v>-0.4</v>
      </c>
      <c r="L10" s="1">
        <v>0.8</v>
      </c>
      <c r="M10" s="1">
        <v>0.4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1</v>
      </c>
      <c r="E11">
        <f t="shared" si="0"/>
        <v>-0.29999999999999993</v>
      </c>
      <c r="F11">
        <f t="shared" si="0"/>
        <v>-0.4</v>
      </c>
      <c r="G11">
        <f t="shared" si="1"/>
        <v>0.4</v>
      </c>
      <c r="H11">
        <f t="shared" si="2"/>
        <v>0</v>
      </c>
      <c r="I11">
        <f t="shared" si="3"/>
        <v>1</v>
      </c>
      <c r="J11">
        <f t="shared" si="4"/>
        <v>-0.29999999999999993</v>
      </c>
      <c r="K11">
        <f t="shared" si="5"/>
        <v>0</v>
      </c>
      <c r="L11" s="1">
        <v>0.8</v>
      </c>
      <c r="M11" s="1">
        <v>0.4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1</v>
      </c>
      <c r="E12">
        <f t="shared" si="0"/>
        <v>-0.29999999999999993</v>
      </c>
      <c r="F12">
        <f t="shared" si="0"/>
        <v>0</v>
      </c>
      <c r="G12">
        <f t="shared" si="1"/>
        <v>0.50000000000000011</v>
      </c>
      <c r="H12">
        <f t="shared" si="2"/>
        <v>0</v>
      </c>
      <c r="I12">
        <f t="shared" si="3"/>
        <v>1</v>
      </c>
      <c r="J12">
        <f t="shared" si="4"/>
        <v>0.10000000000000009</v>
      </c>
      <c r="K12">
        <f t="shared" si="5"/>
        <v>0</v>
      </c>
      <c r="L12" s="1">
        <v>0.8</v>
      </c>
      <c r="M12" s="1">
        <v>0.4</v>
      </c>
      <c r="N12" s="3">
        <v>0.5</v>
      </c>
    </row>
    <row r="13" spans="1:14" x14ac:dyDescent="0.3">
      <c r="A13" s="20"/>
      <c r="B13" s="4">
        <v>1</v>
      </c>
      <c r="C13" s="4">
        <v>1</v>
      </c>
      <c r="D13" s="4">
        <v>0</v>
      </c>
      <c r="E13" s="4">
        <f t="shared" si="0"/>
        <v>0.10000000000000009</v>
      </c>
      <c r="F13" s="4">
        <f t="shared" si="0"/>
        <v>0</v>
      </c>
      <c r="G13" s="4">
        <f t="shared" si="1"/>
        <v>0.90000000000000013</v>
      </c>
      <c r="H13" s="4">
        <f t="shared" si="2"/>
        <v>1</v>
      </c>
      <c r="I13" s="4">
        <f t="shared" si="3"/>
        <v>-1</v>
      </c>
      <c r="J13" s="4">
        <f t="shared" si="4"/>
        <v>-0.29999999999999993</v>
      </c>
      <c r="K13" s="4">
        <f t="shared" si="5"/>
        <v>-0.4</v>
      </c>
      <c r="L13" s="1">
        <v>0.8</v>
      </c>
      <c r="M13" s="1">
        <v>0.4</v>
      </c>
      <c r="N13" s="5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1</v>
      </c>
      <c r="E14" s="1">
        <f t="shared" si="0"/>
        <v>-0.29999999999999993</v>
      </c>
      <c r="F14" s="1">
        <f t="shared" si="0"/>
        <v>-0.4</v>
      </c>
      <c r="G14" s="1">
        <f t="shared" si="1"/>
        <v>0.8</v>
      </c>
      <c r="H14" s="1">
        <f t="shared" si="2"/>
        <v>1</v>
      </c>
      <c r="I14" s="1">
        <f t="shared" si="3"/>
        <v>0</v>
      </c>
      <c r="J14" s="1">
        <f t="shared" si="4"/>
        <v>-0.29999999999999993</v>
      </c>
      <c r="K14" s="1">
        <f t="shared" si="5"/>
        <v>-0.4</v>
      </c>
      <c r="L14" s="1">
        <v>0.8</v>
      </c>
      <c r="M14" s="1">
        <v>0.4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1</v>
      </c>
      <c r="E15">
        <f t="shared" si="0"/>
        <v>-0.29999999999999993</v>
      </c>
      <c r="F15">
        <f t="shared" si="0"/>
        <v>-0.4</v>
      </c>
      <c r="G15">
        <f t="shared" si="1"/>
        <v>0.4</v>
      </c>
      <c r="H15">
        <f t="shared" si="2"/>
        <v>0</v>
      </c>
      <c r="I15">
        <f t="shared" si="3"/>
        <v>1</v>
      </c>
      <c r="J15">
        <f t="shared" si="4"/>
        <v>-0.29999999999999993</v>
      </c>
      <c r="K15">
        <f t="shared" si="5"/>
        <v>0</v>
      </c>
      <c r="L15" s="1">
        <v>0.8</v>
      </c>
      <c r="M15" s="1">
        <v>0.4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1</v>
      </c>
      <c r="E16">
        <f t="shared" si="0"/>
        <v>-0.29999999999999993</v>
      </c>
      <c r="F16">
        <f t="shared" si="0"/>
        <v>0</v>
      </c>
      <c r="G16">
        <f t="shared" si="1"/>
        <v>0.50000000000000011</v>
      </c>
      <c r="H16">
        <f t="shared" si="2"/>
        <v>0</v>
      </c>
      <c r="I16">
        <f t="shared" si="3"/>
        <v>1</v>
      </c>
      <c r="J16">
        <f t="shared" si="4"/>
        <v>0.10000000000000009</v>
      </c>
      <c r="K16">
        <f t="shared" si="5"/>
        <v>0</v>
      </c>
      <c r="L16" s="1">
        <v>0.8</v>
      </c>
      <c r="M16" s="1">
        <v>0.4</v>
      </c>
      <c r="N16" s="3">
        <v>0.5</v>
      </c>
    </row>
    <row r="17" spans="1:14" x14ac:dyDescent="0.3">
      <c r="A17" s="20"/>
      <c r="B17" s="4">
        <v>1</v>
      </c>
      <c r="C17" s="4">
        <v>1</v>
      </c>
      <c r="D17" s="4">
        <v>0</v>
      </c>
      <c r="E17" s="4">
        <f t="shared" si="0"/>
        <v>0.10000000000000009</v>
      </c>
      <c r="F17" s="4">
        <f t="shared" si="0"/>
        <v>0</v>
      </c>
      <c r="G17" s="4">
        <f t="shared" si="1"/>
        <v>0.90000000000000013</v>
      </c>
      <c r="H17" s="4">
        <f t="shared" si="2"/>
        <v>1</v>
      </c>
      <c r="I17" s="4">
        <f t="shared" si="3"/>
        <v>-1</v>
      </c>
      <c r="J17" s="4">
        <f t="shared" si="4"/>
        <v>-0.29999999999999993</v>
      </c>
      <c r="K17" s="4">
        <f t="shared" si="5"/>
        <v>-0.4</v>
      </c>
      <c r="L17" s="1">
        <v>0.8</v>
      </c>
      <c r="M17" s="1">
        <v>0.4</v>
      </c>
      <c r="N17" s="5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1</v>
      </c>
      <c r="E18" s="1">
        <f t="shared" si="0"/>
        <v>-0.29999999999999993</v>
      </c>
      <c r="F18" s="1">
        <f t="shared" si="0"/>
        <v>-0.4</v>
      </c>
      <c r="G18" s="1">
        <f t="shared" si="1"/>
        <v>0.8</v>
      </c>
      <c r="H18" s="1">
        <f t="shared" si="2"/>
        <v>1</v>
      </c>
      <c r="I18" s="1">
        <f t="shared" si="3"/>
        <v>0</v>
      </c>
      <c r="J18" s="1">
        <f t="shared" si="4"/>
        <v>-0.29999999999999993</v>
      </c>
      <c r="K18" s="1">
        <f t="shared" si="5"/>
        <v>-0.4</v>
      </c>
      <c r="L18" s="1">
        <v>0.8</v>
      </c>
      <c r="M18" s="1">
        <v>0.4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1</v>
      </c>
      <c r="E19">
        <f t="shared" si="0"/>
        <v>-0.29999999999999993</v>
      </c>
      <c r="F19">
        <f t="shared" si="0"/>
        <v>-0.4</v>
      </c>
      <c r="G19">
        <f t="shared" si="1"/>
        <v>0.4</v>
      </c>
      <c r="H19">
        <f t="shared" si="2"/>
        <v>0</v>
      </c>
      <c r="I19">
        <f t="shared" si="3"/>
        <v>1</v>
      </c>
      <c r="J19">
        <f t="shared" si="4"/>
        <v>-0.29999999999999993</v>
      </c>
      <c r="K19">
        <f t="shared" si="5"/>
        <v>0</v>
      </c>
      <c r="L19" s="1">
        <v>0.8</v>
      </c>
      <c r="M19" s="1">
        <v>0.4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1</v>
      </c>
      <c r="E20">
        <f t="shared" ref="E20:F23" si="6">J19</f>
        <v>-0.29999999999999993</v>
      </c>
      <c r="F20">
        <f t="shared" si="6"/>
        <v>0</v>
      </c>
      <c r="G20">
        <f t="shared" si="1"/>
        <v>0.50000000000000011</v>
      </c>
      <c r="H20">
        <f t="shared" si="2"/>
        <v>0</v>
      </c>
      <c r="I20">
        <f t="shared" si="3"/>
        <v>1</v>
      </c>
      <c r="J20">
        <f t="shared" si="4"/>
        <v>0.10000000000000009</v>
      </c>
      <c r="K20">
        <f t="shared" si="5"/>
        <v>0</v>
      </c>
      <c r="L20" s="1">
        <v>0.8</v>
      </c>
      <c r="M20" s="1">
        <v>0.4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0</v>
      </c>
      <c r="E21" s="4">
        <f t="shared" si="6"/>
        <v>0.10000000000000009</v>
      </c>
      <c r="F21" s="4">
        <f t="shared" si="6"/>
        <v>0</v>
      </c>
      <c r="G21" s="4">
        <f t="shared" si="1"/>
        <v>0.90000000000000013</v>
      </c>
      <c r="H21" s="4">
        <f t="shared" si="2"/>
        <v>1</v>
      </c>
      <c r="I21" s="4">
        <f t="shared" si="3"/>
        <v>-1</v>
      </c>
      <c r="J21" s="4">
        <f t="shared" si="4"/>
        <v>-0.29999999999999993</v>
      </c>
      <c r="K21" s="4">
        <f t="shared" si="5"/>
        <v>-0.4</v>
      </c>
      <c r="L21" s="1">
        <v>0.8</v>
      </c>
      <c r="M21" s="1">
        <v>0.4</v>
      </c>
      <c r="N21" s="5">
        <v>0.5</v>
      </c>
    </row>
    <row r="22" spans="1:14" x14ac:dyDescent="0.3">
      <c r="A22" s="18">
        <v>6</v>
      </c>
      <c r="B22" s="1">
        <v>0</v>
      </c>
      <c r="C22" s="1">
        <v>0</v>
      </c>
      <c r="D22" s="1">
        <v>1</v>
      </c>
      <c r="E22" s="1">
        <f t="shared" si="6"/>
        <v>-0.29999999999999993</v>
      </c>
      <c r="F22" s="1">
        <f t="shared" si="6"/>
        <v>-0.4</v>
      </c>
      <c r="G22" s="1">
        <f t="shared" ref="G22:G25" si="7">B22*E22+C22*F22+L22</f>
        <v>0.8</v>
      </c>
      <c r="H22" s="1">
        <f t="shared" ref="H22:H25" si="8">IF(G22&gt;N22, 1, 0)</f>
        <v>1</v>
      </c>
      <c r="I22" s="1">
        <f t="shared" ref="I22:I25" si="9">D22-H22</f>
        <v>0</v>
      </c>
      <c r="J22" s="1">
        <f t="shared" ref="J22:J25" si="10">E22+M22*I22*B22</f>
        <v>-0.29999999999999993</v>
      </c>
      <c r="K22" s="1">
        <f t="shared" ref="K22:K25" si="11">F22+M22*I22*C22</f>
        <v>-0.4</v>
      </c>
      <c r="L22" s="1">
        <v>0.8</v>
      </c>
      <c r="M22" s="1">
        <v>0.4</v>
      </c>
      <c r="N22" s="2">
        <v>0.5</v>
      </c>
    </row>
    <row r="23" spans="1:14" x14ac:dyDescent="0.3">
      <c r="A23" s="19"/>
      <c r="B23">
        <v>0</v>
      </c>
      <c r="C23">
        <v>1</v>
      </c>
      <c r="D23">
        <v>1</v>
      </c>
      <c r="E23">
        <f t="shared" si="6"/>
        <v>-0.29999999999999993</v>
      </c>
      <c r="F23">
        <f t="shared" si="6"/>
        <v>-0.4</v>
      </c>
      <c r="G23">
        <f t="shared" si="7"/>
        <v>0.4</v>
      </c>
      <c r="H23">
        <f t="shared" si="8"/>
        <v>0</v>
      </c>
      <c r="I23">
        <f t="shared" si="9"/>
        <v>1</v>
      </c>
      <c r="J23">
        <f t="shared" si="10"/>
        <v>-0.29999999999999993</v>
      </c>
      <c r="K23">
        <f t="shared" si="11"/>
        <v>0</v>
      </c>
      <c r="L23" s="1">
        <v>0.8</v>
      </c>
      <c r="M23" s="1">
        <v>0.4</v>
      </c>
      <c r="N23" s="3">
        <v>0.5</v>
      </c>
    </row>
    <row r="24" spans="1:14" x14ac:dyDescent="0.3">
      <c r="A24" s="19"/>
      <c r="B24">
        <v>1</v>
      </c>
      <c r="C24">
        <v>0</v>
      </c>
      <c r="D24">
        <v>1</v>
      </c>
      <c r="E24">
        <f t="shared" ref="E24:E27" si="12">J23</f>
        <v>-0.29999999999999993</v>
      </c>
      <c r="F24">
        <f t="shared" ref="F24:F27" si="13">K23</f>
        <v>0</v>
      </c>
      <c r="G24">
        <f t="shared" si="7"/>
        <v>0.50000000000000011</v>
      </c>
      <c r="H24">
        <f t="shared" si="8"/>
        <v>0</v>
      </c>
      <c r="I24">
        <f t="shared" si="9"/>
        <v>1</v>
      </c>
      <c r="J24">
        <f t="shared" si="10"/>
        <v>0.10000000000000009</v>
      </c>
      <c r="K24">
        <f t="shared" si="11"/>
        <v>0</v>
      </c>
      <c r="L24" s="1">
        <v>0.8</v>
      </c>
      <c r="M24" s="1">
        <v>0.4</v>
      </c>
      <c r="N24" s="3">
        <v>0.5</v>
      </c>
    </row>
    <row r="25" spans="1:14" x14ac:dyDescent="0.3">
      <c r="A25" s="20"/>
      <c r="B25" s="4">
        <v>1</v>
      </c>
      <c r="C25" s="4">
        <v>1</v>
      </c>
      <c r="D25" s="4">
        <v>0</v>
      </c>
      <c r="E25" s="4">
        <f t="shared" si="12"/>
        <v>0.10000000000000009</v>
      </c>
      <c r="F25" s="4">
        <f t="shared" si="13"/>
        <v>0</v>
      </c>
      <c r="G25" s="4">
        <f t="shared" si="7"/>
        <v>0.90000000000000013</v>
      </c>
      <c r="H25" s="4">
        <f t="shared" si="8"/>
        <v>1</v>
      </c>
      <c r="I25" s="4">
        <f t="shared" si="9"/>
        <v>-1</v>
      </c>
      <c r="J25" s="4">
        <f t="shared" si="10"/>
        <v>-0.29999999999999993</v>
      </c>
      <c r="K25" s="4">
        <f t="shared" si="11"/>
        <v>-0.4</v>
      </c>
      <c r="L25" s="1">
        <v>0.8</v>
      </c>
      <c r="M25" s="1">
        <v>0.4</v>
      </c>
      <c r="N25" s="5">
        <v>0.5</v>
      </c>
    </row>
    <row r="26" spans="1:14" x14ac:dyDescent="0.3">
      <c r="A26" s="18">
        <v>7</v>
      </c>
      <c r="B26" s="1">
        <v>0</v>
      </c>
      <c r="C26" s="1">
        <v>0</v>
      </c>
      <c r="D26" s="1">
        <v>1</v>
      </c>
      <c r="E26" s="1">
        <f t="shared" si="12"/>
        <v>-0.29999999999999993</v>
      </c>
      <c r="F26" s="1">
        <f t="shared" si="13"/>
        <v>-0.4</v>
      </c>
      <c r="G26" s="1">
        <f t="shared" ref="G26:G29" si="14">B26*E26+C26*F26+L26</f>
        <v>0.8</v>
      </c>
      <c r="H26" s="1">
        <f t="shared" ref="H26:H29" si="15">IF(G26&gt;N26, 1, 0)</f>
        <v>1</v>
      </c>
      <c r="I26" s="1">
        <f t="shared" ref="I26:I29" si="16">D26-H26</f>
        <v>0</v>
      </c>
      <c r="J26" s="1">
        <f t="shared" ref="J26:J29" si="17">E26+M26*I26*B26</f>
        <v>-0.29999999999999993</v>
      </c>
      <c r="K26" s="1">
        <f t="shared" ref="K26:K29" si="18">F26+M26*I26*C26</f>
        <v>-0.4</v>
      </c>
      <c r="L26" s="1">
        <v>0.8</v>
      </c>
      <c r="M26" s="1">
        <v>0.4</v>
      </c>
      <c r="N26" s="2">
        <v>0.5</v>
      </c>
    </row>
    <row r="27" spans="1:14" x14ac:dyDescent="0.3">
      <c r="A27" s="19"/>
      <c r="B27">
        <v>0</v>
      </c>
      <c r="C27">
        <v>1</v>
      </c>
      <c r="D27">
        <v>1</v>
      </c>
      <c r="E27">
        <f t="shared" si="12"/>
        <v>-0.29999999999999993</v>
      </c>
      <c r="F27">
        <f t="shared" si="13"/>
        <v>-0.4</v>
      </c>
      <c r="G27">
        <f t="shared" si="14"/>
        <v>0.4</v>
      </c>
      <c r="H27">
        <f t="shared" si="15"/>
        <v>0</v>
      </c>
      <c r="I27">
        <f t="shared" si="16"/>
        <v>1</v>
      </c>
      <c r="J27">
        <f t="shared" si="17"/>
        <v>-0.29999999999999993</v>
      </c>
      <c r="K27">
        <f t="shared" si="18"/>
        <v>0</v>
      </c>
      <c r="L27" s="1">
        <v>0.8</v>
      </c>
      <c r="M27" s="1">
        <v>0.4</v>
      </c>
      <c r="N27" s="3">
        <v>0.5</v>
      </c>
    </row>
    <row r="28" spans="1:14" x14ac:dyDescent="0.3">
      <c r="A28" s="19"/>
      <c r="B28">
        <v>1</v>
      </c>
      <c r="C28">
        <v>0</v>
      </c>
      <c r="D28">
        <v>1</v>
      </c>
      <c r="E28">
        <f t="shared" ref="E28:E31" si="19">J27</f>
        <v>-0.29999999999999993</v>
      </c>
      <c r="F28">
        <f t="shared" ref="F28:F31" si="20">K27</f>
        <v>0</v>
      </c>
      <c r="G28">
        <f t="shared" si="14"/>
        <v>0.50000000000000011</v>
      </c>
      <c r="H28">
        <f t="shared" si="15"/>
        <v>0</v>
      </c>
      <c r="I28">
        <f t="shared" si="16"/>
        <v>1</v>
      </c>
      <c r="J28">
        <f t="shared" si="17"/>
        <v>0.10000000000000009</v>
      </c>
      <c r="K28">
        <f t="shared" si="18"/>
        <v>0</v>
      </c>
      <c r="L28" s="1">
        <v>0.8</v>
      </c>
      <c r="M28" s="1">
        <v>0.4</v>
      </c>
      <c r="N28" s="3">
        <v>0.5</v>
      </c>
    </row>
    <row r="29" spans="1:14" x14ac:dyDescent="0.3">
      <c r="A29" s="20"/>
      <c r="B29" s="4">
        <v>1</v>
      </c>
      <c r="C29" s="4">
        <v>1</v>
      </c>
      <c r="D29" s="4">
        <v>0</v>
      </c>
      <c r="E29" s="4">
        <f t="shared" si="19"/>
        <v>0.10000000000000009</v>
      </c>
      <c r="F29" s="4">
        <f t="shared" si="20"/>
        <v>0</v>
      </c>
      <c r="G29" s="4">
        <f t="shared" si="14"/>
        <v>0.90000000000000013</v>
      </c>
      <c r="H29" s="4">
        <f t="shared" si="15"/>
        <v>1</v>
      </c>
      <c r="I29" s="4">
        <f t="shared" si="16"/>
        <v>-1</v>
      </c>
      <c r="J29" s="4">
        <f t="shared" si="17"/>
        <v>-0.29999999999999993</v>
      </c>
      <c r="K29" s="4">
        <f t="shared" si="18"/>
        <v>-0.4</v>
      </c>
      <c r="L29" s="1">
        <v>0.8</v>
      </c>
      <c r="M29" s="1">
        <v>0.4</v>
      </c>
      <c r="N29" s="5">
        <v>0.5</v>
      </c>
    </row>
    <row r="30" spans="1:14" x14ac:dyDescent="0.3">
      <c r="A30" s="18">
        <v>8</v>
      </c>
      <c r="B30" s="1">
        <v>0</v>
      </c>
      <c r="C30" s="1">
        <v>0</v>
      </c>
      <c r="D30" s="1">
        <v>1</v>
      </c>
      <c r="E30" s="1">
        <f t="shared" si="19"/>
        <v>-0.29999999999999993</v>
      </c>
      <c r="F30" s="1">
        <f t="shared" si="20"/>
        <v>-0.4</v>
      </c>
      <c r="G30" s="1">
        <f t="shared" ref="G30:G33" si="21">B30*E30+C30*F30+L30</f>
        <v>0.8</v>
      </c>
      <c r="H30" s="1">
        <f t="shared" ref="H30:H33" si="22">IF(G30&gt;N30, 1, 0)</f>
        <v>1</v>
      </c>
      <c r="I30" s="1">
        <f t="shared" ref="I30:I33" si="23">D30-H30</f>
        <v>0</v>
      </c>
      <c r="J30" s="1">
        <f t="shared" ref="J30:J33" si="24">E30+M30*I30*B30</f>
        <v>-0.29999999999999993</v>
      </c>
      <c r="K30" s="1">
        <f t="shared" ref="K30:K33" si="25">F30+M30*I30*C30</f>
        <v>-0.4</v>
      </c>
      <c r="L30" s="1">
        <v>0.8</v>
      </c>
      <c r="M30" s="1">
        <v>0.4</v>
      </c>
      <c r="N30" s="2">
        <v>0.5</v>
      </c>
    </row>
    <row r="31" spans="1:14" x14ac:dyDescent="0.3">
      <c r="A31" s="19"/>
      <c r="B31">
        <v>0</v>
      </c>
      <c r="C31">
        <v>1</v>
      </c>
      <c r="D31">
        <v>1</v>
      </c>
      <c r="E31">
        <f t="shared" si="19"/>
        <v>-0.29999999999999993</v>
      </c>
      <c r="F31">
        <f t="shared" si="20"/>
        <v>-0.4</v>
      </c>
      <c r="G31">
        <f t="shared" si="21"/>
        <v>0.4</v>
      </c>
      <c r="H31">
        <f t="shared" si="22"/>
        <v>0</v>
      </c>
      <c r="I31">
        <f t="shared" si="23"/>
        <v>1</v>
      </c>
      <c r="J31">
        <f t="shared" si="24"/>
        <v>-0.29999999999999993</v>
      </c>
      <c r="K31">
        <f t="shared" si="25"/>
        <v>0</v>
      </c>
      <c r="L31" s="1">
        <v>0.8</v>
      </c>
      <c r="M31" s="1">
        <v>0.4</v>
      </c>
      <c r="N31" s="3">
        <v>0.5</v>
      </c>
    </row>
    <row r="32" spans="1:14" x14ac:dyDescent="0.3">
      <c r="A32" s="19"/>
      <c r="B32">
        <v>1</v>
      </c>
      <c r="C32">
        <v>0</v>
      </c>
      <c r="D32">
        <v>1</v>
      </c>
      <c r="E32">
        <f t="shared" ref="E32:E35" si="26">J31</f>
        <v>-0.29999999999999993</v>
      </c>
      <c r="F32">
        <f t="shared" ref="F32:F35" si="27">K31</f>
        <v>0</v>
      </c>
      <c r="G32">
        <f t="shared" si="21"/>
        <v>0.50000000000000011</v>
      </c>
      <c r="H32">
        <f t="shared" si="22"/>
        <v>0</v>
      </c>
      <c r="I32">
        <f t="shared" si="23"/>
        <v>1</v>
      </c>
      <c r="J32">
        <f t="shared" si="24"/>
        <v>0.10000000000000009</v>
      </c>
      <c r="K32">
        <f t="shared" si="25"/>
        <v>0</v>
      </c>
      <c r="L32" s="1">
        <v>0.8</v>
      </c>
      <c r="M32" s="1">
        <v>0.4</v>
      </c>
      <c r="N32" s="3">
        <v>0.5</v>
      </c>
    </row>
    <row r="33" spans="1:14" x14ac:dyDescent="0.3">
      <c r="A33" s="20"/>
      <c r="B33" s="4">
        <v>1</v>
      </c>
      <c r="C33" s="4">
        <v>1</v>
      </c>
      <c r="D33" s="4">
        <v>0</v>
      </c>
      <c r="E33" s="4">
        <f t="shared" si="26"/>
        <v>0.10000000000000009</v>
      </c>
      <c r="F33" s="4">
        <f t="shared" si="27"/>
        <v>0</v>
      </c>
      <c r="G33" s="4">
        <f t="shared" si="21"/>
        <v>0.90000000000000013</v>
      </c>
      <c r="H33" s="4">
        <f t="shared" si="22"/>
        <v>1</v>
      </c>
      <c r="I33" s="4">
        <f t="shared" si="23"/>
        <v>-1</v>
      </c>
      <c r="J33" s="4">
        <f t="shared" si="24"/>
        <v>-0.29999999999999993</v>
      </c>
      <c r="K33" s="4">
        <f t="shared" si="25"/>
        <v>-0.4</v>
      </c>
      <c r="L33" s="1">
        <v>0.8</v>
      </c>
      <c r="M33" s="1">
        <v>0.4</v>
      </c>
      <c r="N33" s="5">
        <v>0.5</v>
      </c>
    </row>
    <row r="34" spans="1:14" x14ac:dyDescent="0.3">
      <c r="A34" s="18">
        <v>9</v>
      </c>
      <c r="B34" s="1">
        <v>0</v>
      </c>
      <c r="C34" s="1">
        <v>0</v>
      </c>
      <c r="D34" s="1">
        <v>1</v>
      </c>
      <c r="E34" s="1">
        <f t="shared" si="26"/>
        <v>-0.29999999999999993</v>
      </c>
      <c r="F34" s="1">
        <f t="shared" si="27"/>
        <v>-0.4</v>
      </c>
      <c r="G34" s="1">
        <f t="shared" ref="G34:G37" si="28">B34*E34+C34*F34+L34</f>
        <v>0.8</v>
      </c>
      <c r="H34" s="1">
        <f t="shared" ref="H34:H37" si="29">IF(G34&gt;N34, 1, 0)</f>
        <v>1</v>
      </c>
      <c r="I34" s="1">
        <f t="shared" ref="I34:I37" si="30">D34-H34</f>
        <v>0</v>
      </c>
      <c r="J34" s="1">
        <f t="shared" ref="J34:J37" si="31">E34+M34*I34*B34</f>
        <v>-0.29999999999999993</v>
      </c>
      <c r="K34" s="1">
        <f t="shared" ref="K34:K37" si="32">F34+M34*I34*C34</f>
        <v>-0.4</v>
      </c>
      <c r="L34" s="1">
        <v>0.8</v>
      </c>
      <c r="M34" s="1">
        <v>0.4</v>
      </c>
      <c r="N34" s="2">
        <v>0.5</v>
      </c>
    </row>
    <row r="35" spans="1:14" x14ac:dyDescent="0.3">
      <c r="A35" s="19"/>
      <c r="B35">
        <v>0</v>
      </c>
      <c r="C35">
        <v>1</v>
      </c>
      <c r="D35">
        <v>1</v>
      </c>
      <c r="E35">
        <f t="shared" si="26"/>
        <v>-0.29999999999999993</v>
      </c>
      <c r="F35">
        <f t="shared" si="27"/>
        <v>-0.4</v>
      </c>
      <c r="G35">
        <f t="shared" si="28"/>
        <v>0.4</v>
      </c>
      <c r="H35">
        <f t="shared" si="29"/>
        <v>0</v>
      </c>
      <c r="I35">
        <f t="shared" si="30"/>
        <v>1</v>
      </c>
      <c r="J35">
        <f t="shared" si="31"/>
        <v>-0.29999999999999993</v>
      </c>
      <c r="K35">
        <f t="shared" si="32"/>
        <v>0</v>
      </c>
      <c r="L35" s="1">
        <v>0.8</v>
      </c>
      <c r="M35" s="1">
        <v>0.4</v>
      </c>
      <c r="N35" s="3">
        <v>0.5</v>
      </c>
    </row>
    <row r="36" spans="1:14" x14ac:dyDescent="0.3">
      <c r="A36" s="19"/>
      <c r="B36">
        <v>1</v>
      </c>
      <c r="C36">
        <v>0</v>
      </c>
      <c r="D36">
        <v>1</v>
      </c>
      <c r="E36">
        <f t="shared" ref="E36:E39" si="33">J35</f>
        <v>-0.29999999999999993</v>
      </c>
      <c r="F36">
        <f t="shared" ref="F36:F39" si="34">K35</f>
        <v>0</v>
      </c>
      <c r="G36">
        <f t="shared" si="28"/>
        <v>0.50000000000000011</v>
      </c>
      <c r="H36">
        <f t="shared" si="29"/>
        <v>0</v>
      </c>
      <c r="I36">
        <f t="shared" si="30"/>
        <v>1</v>
      </c>
      <c r="J36">
        <f t="shared" si="31"/>
        <v>0.10000000000000009</v>
      </c>
      <c r="K36">
        <f t="shared" si="32"/>
        <v>0</v>
      </c>
      <c r="L36" s="1">
        <v>0.8</v>
      </c>
      <c r="M36" s="1">
        <v>0.4</v>
      </c>
      <c r="N36" s="3">
        <v>0.5</v>
      </c>
    </row>
    <row r="37" spans="1:14" x14ac:dyDescent="0.3">
      <c r="A37" s="20"/>
      <c r="B37" s="4">
        <v>1</v>
      </c>
      <c r="C37" s="4">
        <v>1</v>
      </c>
      <c r="D37" s="4">
        <v>0</v>
      </c>
      <c r="E37" s="4">
        <f t="shared" si="33"/>
        <v>0.10000000000000009</v>
      </c>
      <c r="F37" s="4">
        <f t="shared" si="34"/>
        <v>0</v>
      </c>
      <c r="G37" s="4">
        <f t="shared" si="28"/>
        <v>0.90000000000000013</v>
      </c>
      <c r="H37" s="4">
        <f t="shared" si="29"/>
        <v>1</v>
      </c>
      <c r="I37" s="4">
        <f t="shared" si="30"/>
        <v>-1</v>
      </c>
      <c r="J37" s="4">
        <f t="shared" si="31"/>
        <v>-0.29999999999999993</v>
      </c>
      <c r="K37" s="4">
        <f t="shared" si="32"/>
        <v>-0.4</v>
      </c>
      <c r="L37" s="1">
        <v>0.8</v>
      </c>
      <c r="M37" s="1">
        <v>0.4</v>
      </c>
      <c r="N37" s="5">
        <v>0.5</v>
      </c>
    </row>
    <row r="38" spans="1:14" x14ac:dyDescent="0.3">
      <c r="A38" s="18">
        <v>10</v>
      </c>
      <c r="B38" s="1">
        <v>0</v>
      </c>
      <c r="C38" s="1">
        <v>0</v>
      </c>
      <c r="D38" s="1">
        <v>1</v>
      </c>
      <c r="E38" s="1">
        <f t="shared" si="33"/>
        <v>-0.29999999999999993</v>
      </c>
      <c r="F38" s="1">
        <f t="shared" si="34"/>
        <v>-0.4</v>
      </c>
      <c r="G38" s="1">
        <f t="shared" ref="G38:G53" si="35">B38*E38+C38*F38+L38</f>
        <v>0.8</v>
      </c>
      <c r="H38" s="1">
        <f t="shared" ref="H38:H53" si="36">IF(G38&gt;N38, 1, 0)</f>
        <v>1</v>
      </c>
      <c r="I38" s="1">
        <f t="shared" ref="I38:I53" si="37">D38-H38</f>
        <v>0</v>
      </c>
      <c r="J38" s="1">
        <f t="shared" ref="J38:J53" si="38">E38+M38*I38*B38</f>
        <v>-0.29999999999999993</v>
      </c>
      <c r="K38" s="1">
        <f t="shared" ref="K38:K53" si="39">F38+M38*I38*C38</f>
        <v>-0.4</v>
      </c>
      <c r="L38" s="1">
        <v>0.8</v>
      </c>
      <c r="M38" s="1">
        <v>0.4</v>
      </c>
      <c r="N38" s="2">
        <v>0.5</v>
      </c>
    </row>
    <row r="39" spans="1:14" x14ac:dyDescent="0.3">
      <c r="A39" s="19"/>
      <c r="B39">
        <v>0</v>
      </c>
      <c r="C39">
        <v>1</v>
      </c>
      <c r="D39">
        <v>1</v>
      </c>
      <c r="E39">
        <f t="shared" si="33"/>
        <v>-0.29999999999999993</v>
      </c>
      <c r="F39">
        <f t="shared" si="34"/>
        <v>-0.4</v>
      </c>
      <c r="G39">
        <f t="shared" si="35"/>
        <v>0.4</v>
      </c>
      <c r="H39">
        <f t="shared" si="36"/>
        <v>0</v>
      </c>
      <c r="I39">
        <f t="shared" si="37"/>
        <v>1</v>
      </c>
      <c r="J39">
        <f t="shared" si="38"/>
        <v>-0.29999999999999993</v>
      </c>
      <c r="K39">
        <f t="shared" si="39"/>
        <v>0</v>
      </c>
      <c r="L39" s="1">
        <v>0.8</v>
      </c>
      <c r="M39" s="1">
        <v>0.4</v>
      </c>
      <c r="N39" s="3">
        <v>0.5</v>
      </c>
    </row>
    <row r="40" spans="1:14" x14ac:dyDescent="0.3">
      <c r="A40" s="19"/>
      <c r="B40">
        <v>1</v>
      </c>
      <c r="C40">
        <v>0</v>
      </c>
      <c r="D40">
        <v>1</v>
      </c>
      <c r="E40">
        <f t="shared" ref="E40:E53" si="40">J39</f>
        <v>-0.29999999999999993</v>
      </c>
      <c r="F40">
        <f t="shared" ref="F40:F53" si="41">K39</f>
        <v>0</v>
      </c>
      <c r="G40">
        <f t="shared" si="35"/>
        <v>0.50000000000000011</v>
      </c>
      <c r="H40">
        <f t="shared" si="36"/>
        <v>0</v>
      </c>
      <c r="I40">
        <f t="shared" si="37"/>
        <v>1</v>
      </c>
      <c r="J40">
        <f t="shared" si="38"/>
        <v>0.10000000000000009</v>
      </c>
      <c r="K40">
        <f t="shared" si="39"/>
        <v>0</v>
      </c>
      <c r="L40" s="1">
        <v>0.8</v>
      </c>
      <c r="M40" s="1">
        <v>0.4</v>
      </c>
      <c r="N40" s="3">
        <v>0.5</v>
      </c>
    </row>
    <row r="41" spans="1:14" x14ac:dyDescent="0.3">
      <c r="A41" s="20"/>
      <c r="B41" s="4">
        <v>1</v>
      </c>
      <c r="C41" s="4">
        <v>1</v>
      </c>
      <c r="D41" s="4">
        <v>0</v>
      </c>
      <c r="E41" s="4">
        <f t="shared" si="40"/>
        <v>0.10000000000000009</v>
      </c>
      <c r="F41" s="4">
        <f t="shared" si="41"/>
        <v>0</v>
      </c>
      <c r="G41" s="4">
        <f t="shared" si="35"/>
        <v>0.90000000000000013</v>
      </c>
      <c r="H41" s="4">
        <f t="shared" si="36"/>
        <v>1</v>
      </c>
      <c r="I41" s="4">
        <f t="shared" si="37"/>
        <v>-1</v>
      </c>
      <c r="J41" s="4">
        <f t="shared" si="38"/>
        <v>-0.29999999999999993</v>
      </c>
      <c r="K41" s="4">
        <f t="shared" si="39"/>
        <v>-0.4</v>
      </c>
      <c r="L41" s="1">
        <v>0.8</v>
      </c>
      <c r="M41" s="1">
        <v>0.4</v>
      </c>
      <c r="N41" s="5">
        <v>0.5</v>
      </c>
    </row>
    <row r="42" spans="1:14" x14ac:dyDescent="0.3">
      <c r="A42" s="18">
        <v>11</v>
      </c>
      <c r="B42" s="1">
        <v>0</v>
      </c>
      <c r="C42" s="1">
        <v>0</v>
      </c>
      <c r="D42" s="1">
        <v>1</v>
      </c>
      <c r="E42" s="1">
        <f t="shared" si="40"/>
        <v>-0.29999999999999993</v>
      </c>
      <c r="F42" s="1">
        <f t="shared" si="41"/>
        <v>-0.4</v>
      </c>
      <c r="G42" s="1">
        <f t="shared" si="35"/>
        <v>0.8</v>
      </c>
      <c r="H42" s="1">
        <f t="shared" si="36"/>
        <v>1</v>
      </c>
      <c r="I42" s="1">
        <f t="shared" si="37"/>
        <v>0</v>
      </c>
      <c r="J42" s="1">
        <f t="shared" si="38"/>
        <v>-0.29999999999999993</v>
      </c>
      <c r="K42" s="1">
        <f t="shared" si="39"/>
        <v>-0.4</v>
      </c>
      <c r="L42" s="1">
        <v>0.8</v>
      </c>
      <c r="M42" s="1">
        <v>0.4</v>
      </c>
      <c r="N42" s="2">
        <v>0.5</v>
      </c>
    </row>
    <row r="43" spans="1:14" x14ac:dyDescent="0.3">
      <c r="A43" s="19"/>
      <c r="B43">
        <v>0</v>
      </c>
      <c r="C43">
        <v>1</v>
      </c>
      <c r="D43">
        <v>1</v>
      </c>
      <c r="E43">
        <f t="shared" si="40"/>
        <v>-0.29999999999999993</v>
      </c>
      <c r="F43">
        <f t="shared" si="41"/>
        <v>-0.4</v>
      </c>
      <c r="G43">
        <f t="shared" si="35"/>
        <v>0.4</v>
      </c>
      <c r="H43">
        <f t="shared" si="36"/>
        <v>0</v>
      </c>
      <c r="I43">
        <f t="shared" si="37"/>
        <v>1</v>
      </c>
      <c r="J43">
        <f t="shared" si="38"/>
        <v>-0.29999999999999993</v>
      </c>
      <c r="K43">
        <f t="shared" si="39"/>
        <v>0</v>
      </c>
      <c r="L43" s="1">
        <v>0.8</v>
      </c>
      <c r="M43" s="1">
        <v>0.4</v>
      </c>
      <c r="N43" s="3">
        <v>0.5</v>
      </c>
    </row>
    <row r="44" spans="1:14" x14ac:dyDescent="0.3">
      <c r="A44" s="19"/>
      <c r="B44">
        <v>1</v>
      </c>
      <c r="C44">
        <v>0</v>
      </c>
      <c r="D44">
        <v>1</v>
      </c>
      <c r="E44">
        <f t="shared" si="40"/>
        <v>-0.29999999999999993</v>
      </c>
      <c r="F44">
        <f t="shared" si="41"/>
        <v>0</v>
      </c>
      <c r="G44">
        <f t="shared" si="35"/>
        <v>0.50000000000000011</v>
      </c>
      <c r="H44">
        <f t="shared" si="36"/>
        <v>0</v>
      </c>
      <c r="I44">
        <f t="shared" si="37"/>
        <v>1</v>
      </c>
      <c r="J44">
        <f t="shared" si="38"/>
        <v>0.10000000000000009</v>
      </c>
      <c r="K44">
        <f t="shared" si="39"/>
        <v>0</v>
      </c>
      <c r="L44" s="1">
        <v>0.8</v>
      </c>
      <c r="M44" s="1">
        <v>0.4</v>
      </c>
      <c r="N44" s="3">
        <v>0.5</v>
      </c>
    </row>
    <row r="45" spans="1:14" x14ac:dyDescent="0.3">
      <c r="A45" s="20"/>
      <c r="B45" s="4">
        <v>1</v>
      </c>
      <c r="C45" s="4">
        <v>1</v>
      </c>
      <c r="D45" s="4">
        <v>0</v>
      </c>
      <c r="E45" s="4">
        <f t="shared" si="40"/>
        <v>0.10000000000000009</v>
      </c>
      <c r="F45" s="4">
        <f t="shared" si="41"/>
        <v>0</v>
      </c>
      <c r="G45" s="4">
        <f t="shared" si="35"/>
        <v>0.90000000000000013</v>
      </c>
      <c r="H45" s="4">
        <f t="shared" si="36"/>
        <v>1</v>
      </c>
      <c r="I45" s="4">
        <f t="shared" si="37"/>
        <v>-1</v>
      </c>
      <c r="J45" s="4">
        <f t="shared" si="38"/>
        <v>-0.29999999999999993</v>
      </c>
      <c r="K45" s="4">
        <f t="shared" si="39"/>
        <v>-0.4</v>
      </c>
      <c r="L45" s="1">
        <v>0.8</v>
      </c>
      <c r="M45" s="1">
        <v>0.4</v>
      </c>
      <c r="N45" s="5">
        <v>0.5</v>
      </c>
    </row>
    <row r="46" spans="1:14" x14ac:dyDescent="0.3">
      <c r="A46" s="18">
        <v>12</v>
      </c>
      <c r="B46" s="1">
        <v>0</v>
      </c>
      <c r="C46" s="1">
        <v>0</v>
      </c>
      <c r="D46" s="1">
        <v>1</v>
      </c>
      <c r="E46" s="1">
        <f t="shared" si="40"/>
        <v>-0.29999999999999993</v>
      </c>
      <c r="F46" s="1">
        <f t="shared" si="41"/>
        <v>-0.4</v>
      </c>
      <c r="G46" s="1">
        <f t="shared" si="35"/>
        <v>0.8</v>
      </c>
      <c r="H46" s="1">
        <f t="shared" si="36"/>
        <v>1</v>
      </c>
      <c r="I46" s="1">
        <f t="shared" si="37"/>
        <v>0</v>
      </c>
      <c r="J46" s="1">
        <f t="shared" si="38"/>
        <v>-0.29999999999999993</v>
      </c>
      <c r="K46" s="1">
        <f t="shared" si="39"/>
        <v>-0.4</v>
      </c>
      <c r="L46" s="1">
        <v>0.8</v>
      </c>
      <c r="M46" s="1">
        <v>0.4</v>
      </c>
      <c r="N46" s="2">
        <v>0.5</v>
      </c>
    </row>
    <row r="47" spans="1:14" x14ac:dyDescent="0.3">
      <c r="A47" s="19"/>
      <c r="B47">
        <v>0</v>
      </c>
      <c r="C47">
        <v>1</v>
      </c>
      <c r="D47">
        <v>1</v>
      </c>
      <c r="E47">
        <f t="shared" si="40"/>
        <v>-0.29999999999999993</v>
      </c>
      <c r="F47">
        <f t="shared" si="41"/>
        <v>-0.4</v>
      </c>
      <c r="G47">
        <f t="shared" si="35"/>
        <v>0.4</v>
      </c>
      <c r="H47">
        <f t="shared" si="36"/>
        <v>0</v>
      </c>
      <c r="I47">
        <f t="shared" si="37"/>
        <v>1</v>
      </c>
      <c r="J47">
        <f t="shared" si="38"/>
        <v>-0.29999999999999993</v>
      </c>
      <c r="K47">
        <f t="shared" si="39"/>
        <v>0</v>
      </c>
      <c r="L47" s="1">
        <v>0.8</v>
      </c>
      <c r="M47" s="1">
        <v>0.4</v>
      </c>
      <c r="N47" s="3">
        <v>0.5</v>
      </c>
    </row>
    <row r="48" spans="1:14" x14ac:dyDescent="0.3">
      <c r="A48" s="19"/>
      <c r="B48">
        <v>1</v>
      </c>
      <c r="C48">
        <v>0</v>
      </c>
      <c r="D48">
        <v>1</v>
      </c>
      <c r="E48">
        <f t="shared" si="40"/>
        <v>-0.29999999999999993</v>
      </c>
      <c r="F48">
        <f t="shared" si="41"/>
        <v>0</v>
      </c>
      <c r="G48">
        <f t="shared" si="35"/>
        <v>0.50000000000000011</v>
      </c>
      <c r="H48">
        <f t="shared" si="36"/>
        <v>0</v>
      </c>
      <c r="I48">
        <f t="shared" si="37"/>
        <v>1</v>
      </c>
      <c r="J48">
        <f t="shared" si="38"/>
        <v>0.10000000000000009</v>
      </c>
      <c r="K48">
        <f t="shared" si="39"/>
        <v>0</v>
      </c>
      <c r="L48" s="1">
        <v>0.8</v>
      </c>
      <c r="M48" s="1">
        <v>0.4</v>
      </c>
      <c r="N48" s="3">
        <v>0.5</v>
      </c>
    </row>
    <row r="49" spans="1:14" x14ac:dyDescent="0.3">
      <c r="A49" s="20"/>
      <c r="B49" s="4">
        <v>1</v>
      </c>
      <c r="C49" s="4">
        <v>1</v>
      </c>
      <c r="D49" s="4">
        <v>0</v>
      </c>
      <c r="E49" s="4">
        <f t="shared" si="40"/>
        <v>0.10000000000000009</v>
      </c>
      <c r="F49" s="4">
        <f t="shared" si="41"/>
        <v>0</v>
      </c>
      <c r="G49" s="4">
        <f t="shared" si="35"/>
        <v>0.90000000000000013</v>
      </c>
      <c r="H49" s="4">
        <f t="shared" si="36"/>
        <v>1</v>
      </c>
      <c r="I49" s="4">
        <f t="shared" si="37"/>
        <v>-1</v>
      </c>
      <c r="J49" s="4">
        <f t="shared" si="38"/>
        <v>-0.29999999999999993</v>
      </c>
      <c r="K49" s="4">
        <f t="shared" si="39"/>
        <v>-0.4</v>
      </c>
      <c r="L49" s="1">
        <v>0.8</v>
      </c>
      <c r="M49" s="1">
        <v>0.4</v>
      </c>
      <c r="N49" s="5">
        <v>0.5</v>
      </c>
    </row>
    <row r="50" spans="1:14" x14ac:dyDescent="0.3">
      <c r="A50" s="18">
        <v>13</v>
      </c>
      <c r="B50" s="1">
        <v>0</v>
      </c>
      <c r="C50" s="1">
        <v>0</v>
      </c>
      <c r="D50" s="1">
        <v>1</v>
      </c>
      <c r="E50" s="1">
        <f t="shared" si="40"/>
        <v>-0.29999999999999993</v>
      </c>
      <c r="F50" s="1">
        <f t="shared" si="41"/>
        <v>-0.4</v>
      </c>
      <c r="G50" s="1">
        <f t="shared" si="35"/>
        <v>0.8</v>
      </c>
      <c r="H50" s="1">
        <f t="shared" si="36"/>
        <v>1</v>
      </c>
      <c r="I50" s="1">
        <f t="shared" si="37"/>
        <v>0</v>
      </c>
      <c r="J50" s="1">
        <f t="shared" si="38"/>
        <v>-0.29999999999999993</v>
      </c>
      <c r="K50" s="1">
        <f t="shared" si="39"/>
        <v>-0.4</v>
      </c>
      <c r="L50" s="1">
        <v>0.8</v>
      </c>
      <c r="M50" s="1">
        <v>0.4</v>
      </c>
      <c r="N50" s="2">
        <v>0.5</v>
      </c>
    </row>
    <row r="51" spans="1:14" x14ac:dyDescent="0.3">
      <c r="A51" s="19"/>
      <c r="B51">
        <v>0</v>
      </c>
      <c r="C51">
        <v>1</v>
      </c>
      <c r="D51">
        <v>1</v>
      </c>
      <c r="E51">
        <f t="shared" si="40"/>
        <v>-0.29999999999999993</v>
      </c>
      <c r="F51">
        <f t="shared" si="41"/>
        <v>-0.4</v>
      </c>
      <c r="G51">
        <f t="shared" si="35"/>
        <v>0.4</v>
      </c>
      <c r="H51">
        <f t="shared" si="36"/>
        <v>0</v>
      </c>
      <c r="I51">
        <f t="shared" si="37"/>
        <v>1</v>
      </c>
      <c r="J51">
        <f t="shared" si="38"/>
        <v>-0.29999999999999993</v>
      </c>
      <c r="K51">
        <f t="shared" si="39"/>
        <v>0</v>
      </c>
      <c r="L51" s="1">
        <v>0.8</v>
      </c>
      <c r="M51" s="1">
        <v>0.4</v>
      </c>
      <c r="N51" s="3">
        <v>0.5</v>
      </c>
    </row>
    <row r="52" spans="1:14" x14ac:dyDescent="0.3">
      <c r="A52" s="19"/>
      <c r="B52">
        <v>1</v>
      </c>
      <c r="C52">
        <v>0</v>
      </c>
      <c r="D52">
        <v>1</v>
      </c>
      <c r="E52">
        <f t="shared" si="40"/>
        <v>-0.29999999999999993</v>
      </c>
      <c r="F52">
        <f t="shared" si="41"/>
        <v>0</v>
      </c>
      <c r="G52">
        <f t="shared" si="35"/>
        <v>0.50000000000000011</v>
      </c>
      <c r="H52">
        <f t="shared" si="36"/>
        <v>0</v>
      </c>
      <c r="I52">
        <f t="shared" si="37"/>
        <v>1</v>
      </c>
      <c r="J52">
        <f t="shared" si="38"/>
        <v>0.10000000000000009</v>
      </c>
      <c r="K52">
        <f t="shared" si="39"/>
        <v>0</v>
      </c>
      <c r="L52" s="1">
        <v>0.8</v>
      </c>
      <c r="M52" s="1">
        <v>0.4</v>
      </c>
      <c r="N52" s="3">
        <v>0.5</v>
      </c>
    </row>
    <row r="53" spans="1:14" x14ac:dyDescent="0.3">
      <c r="A53" s="20"/>
      <c r="B53" s="4">
        <v>1</v>
      </c>
      <c r="C53" s="4">
        <v>1</v>
      </c>
      <c r="D53" s="4">
        <v>0</v>
      </c>
      <c r="E53" s="4">
        <f t="shared" si="40"/>
        <v>0.10000000000000009</v>
      </c>
      <c r="F53" s="4">
        <f t="shared" si="41"/>
        <v>0</v>
      </c>
      <c r="G53" s="4">
        <f t="shared" si="35"/>
        <v>0.90000000000000013</v>
      </c>
      <c r="H53" s="4">
        <f t="shared" si="36"/>
        <v>1</v>
      </c>
      <c r="I53" s="4">
        <f t="shared" si="37"/>
        <v>-1</v>
      </c>
      <c r="J53" s="4">
        <f t="shared" si="38"/>
        <v>-0.29999999999999993</v>
      </c>
      <c r="K53" s="4">
        <f t="shared" si="39"/>
        <v>-0.4</v>
      </c>
      <c r="L53" s="1">
        <v>0.8</v>
      </c>
      <c r="M53" s="1">
        <v>0.4</v>
      </c>
      <c r="N53" s="5">
        <v>0.5</v>
      </c>
    </row>
    <row r="54" spans="1:14" x14ac:dyDescent="0.3">
      <c r="A54" s="18">
        <v>14</v>
      </c>
      <c r="B54" s="1">
        <v>0</v>
      </c>
      <c r="C54" s="1">
        <v>0</v>
      </c>
      <c r="D54" s="1">
        <v>1</v>
      </c>
      <c r="E54" s="1">
        <f t="shared" ref="E54:E57" si="42">J53</f>
        <v>-0.29999999999999993</v>
      </c>
      <c r="F54" s="1">
        <f t="shared" ref="F54:F57" si="43">K53</f>
        <v>-0.4</v>
      </c>
      <c r="G54" s="1">
        <f t="shared" ref="G54:G57" si="44">B54*E54+C54*F54+L54</f>
        <v>0.8</v>
      </c>
      <c r="H54" s="1">
        <f t="shared" ref="H54:H57" si="45">IF(G54&gt;N54, 1, 0)</f>
        <v>1</v>
      </c>
      <c r="I54" s="1">
        <f t="shared" ref="I54:I57" si="46">D54-H54</f>
        <v>0</v>
      </c>
      <c r="J54" s="1">
        <f t="shared" ref="J54:J57" si="47">E54+M54*I54*B54</f>
        <v>-0.29999999999999993</v>
      </c>
      <c r="K54" s="1">
        <f t="shared" ref="K54:K57" si="48">F54+M54*I54*C54</f>
        <v>-0.4</v>
      </c>
      <c r="L54" s="1">
        <v>0.8</v>
      </c>
      <c r="M54" s="1">
        <v>0.4</v>
      </c>
      <c r="N54" s="2">
        <v>0.5</v>
      </c>
    </row>
    <row r="55" spans="1:14" x14ac:dyDescent="0.3">
      <c r="A55" s="19"/>
      <c r="B55">
        <v>0</v>
      </c>
      <c r="C55">
        <v>1</v>
      </c>
      <c r="D55">
        <v>1</v>
      </c>
      <c r="E55">
        <f t="shared" si="42"/>
        <v>-0.29999999999999993</v>
      </c>
      <c r="F55">
        <f t="shared" si="43"/>
        <v>-0.4</v>
      </c>
      <c r="G55">
        <f t="shared" si="44"/>
        <v>0.4</v>
      </c>
      <c r="H55">
        <f t="shared" si="45"/>
        <v>0</v>
      </c>
      <c r="I55">
        <f t="shared" si="46"/>
        <v>1</v>
      </c>
      <c r="J55">
        <f t="shared" si="47"/>
        <v>-0.29999999999999993</v>
      </c>
      <c r="K55">
        <f t="shared" si="48"/>
        <v>0</v>
      </c>
      <c r="L55" s="1">
        <v>0.8</v>
      </c>
      <c r="M55" s="1">
        <v>0.4</v>
      </c>
      <c r="N55" s="3">
        <v>0.5</v>
      </c>
    </row>
    <row r="56" spans="1:14" x14ac:dyDescent="0.3">
      <c r="A56" s="19"/>
      <c r="B56">
        <v>1</v>
      </c>
      <c r="C56">
        <v>0</v>
      </c>
      <c r="D56">
        <v>1</v>
      </c>
      <c r="E56">
        <f t="shared" si="42"/>
        <v>-0.29999999999999993</v>
      </c>
      <c r="F56">
        <f t="shared" si="43"/>
        <v>0</v>
      </c>
      <c r="G56">
        <f t="shared" si="44"/>
        <v>0.50000000000000011</v>
      </c>
      <c r="H56">
        <f t="shared" si="45"/>
        <v>0</v>
      </c>
      <c r="I56">
        <f t="shared" si="46"/>
        <v>1</v>
      </c>
      <c r="J56">
        <f t="shared" si="47"/>
        <v>0.10000000000000009</v>
      </c>
      <c r="K56">
        <f t="shared" si="48"/>
        <v>0</v>
      </c>
      <c r="L56" s="1">
        <v>0.8</v>
      </c>
      <c r="M56" s="1">
        <v>0.4</v>
      </c>
      <c r="N56" s="3">
        <v>0.5</v>
      </c>
    </row>
    <row r="57" spans="1:14" x14ac:dyDescent="0.3">
      <c r="A57" s="20"/>
      <c r="B57" s="4">
        <v>1</v>
      </c>
      <c r="C57" s="4">
        <v>1</v>
      </c>
      <c r="D57" s="4">
        <v>0</v>
      </c>
      <c r="E57" s="4">
        <f t="shared" si="42"/>
        <v>0.10000000000000009</v>
      </c>
      <c r="F57" s="4">
        <f t="shared" si="43"/>
        <v>0</v>
      </c>
      <c r="G57" s="4">
        <f t="shared" si="44"/>
        <v>0.90000000000000013</v>
      </c>
      <c r="H57" s="4">
        <f t="shared" si="45"/>
        <v>1</v>
      </c>
      <c r="I57" s="4">
        <f t="shared" si="46"/>
        <v>-1</v>
      </c>
      <c r="J57" s="4">
        <f t="shared" si="47"/>
        <v>-0.29999999999999993</v>
      </c>
      <c r="K57" s="4">
        <f t="shared" si="48"/>
        <v>-0.4</v>
      </c>
      <c r="L57" s="1">
        <v>0.8</v>
      </c>
      <c r="M57" s="1">
        <v>0.4</v>
      </c>
      <c r="N57" s="5">
        <v>0.5</v>
      </c>
    </row>
  </sheetData>
  <mergeCells count="14">
    <mergeCell ref="A50:A53"/>
    <mergeCell ref="A54:A57"/>
    <mergeCell ref="A26:A29"/>
    <mergeCell ref="A30:A33"/>
    <mergeCell ref="A34:A37"/>
    <mergeCell ref="A38:A41"/>
    <mergeCell ref="A42:A45"/>
    <mergeCell ref="A46:A49"/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1C02-A122-4EE2-B37B-B4977B193AD6}">
  <dimension ref="A1:N21"/>
  <sheetViews>
    <sheetView workbookViewId="0">
      <selection activeCell="J22" sqref="J22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1</v>
      </c>
      <c r="E2" s="1">
        <v>0.3</v>
      </c>
      <c r="F2" s="1">
        <v>0.4</v>
      </c>
      <c r="G2" s="1">
        <f>B2*E2+C2*F2+L2</f>
        <v>0.6</v>
      </c>
      <c r="H2" s="1">
        <f>IF(G2&gt;N2, 1, 0)</f>
        <v>1</v>
      </c>
      <c r="I2" s="1">
        <f>D2-H2</f>
        <v>0</v>
      </c>
      <c r="J2" s="1">
        <f>E2+M2*I2*B2</f>
        <v>0.3</v>
      </c>
      <c r="K2" s="1">
        <f>F2+M2*I2*C2</f>
        <v>0.4</v>
      </c>
      <c r="L2" s="1">
        <v>0.6</v>
      </c>
      <c r="M2" s="1">
        <v>0.4</v>
      </c>
      <c r="N2" s="2">
        <v>0.5</v>
      </c>
    </row>
    <row r="3" spans="1:14" x14ac:dyDescent="0.3">
      <c r="A3" s="19"/>
      <c r="B3">
        <v>0</v>
      </c>
      <c r="C3">
        <v>1</v>
      </c>
      <c r="D3">
        <v>0</v>
      </c>
      <c r="E3">
        <f>J2</f>
        <v>0.3</v>
      </c>
      <c r="F3">
        <f>K2</f>
        <v>0.4</v>
      </c>
      <c r="G3">
        <f>B3*E3+C3*F3+L3</f>
        <v>1</v>
      </c>
      <c r="H3">
        <f>IF(G3&gt;N3, 1, 0)</f>
        <v>1</v>
      </c>
      <c r="I3">
        <f>D3-H3</f>
        <v>-1</v>
      </c>
      <c r="J3">
        <f>E3+M3*I3*B3</f>
        <v>0.3</v>
      </c>
      <c r="K3">
        <f>F3+M3*I3*C3</f>
        <v>0</v>
      </c>
      <c r="L3" s="1">
        <v>0.6</v>
      </c>
      <c r="M3" s="1">
        <v>0.4</v>
      </c>
      <c r="N3" s="3">
        <v>0.5</v>
      </c>
    </row>
    <row r="4" spans="1:14" x14ac:dyDescent="0.3">
      <c r="A4" s="19"/>
      <c r="B4">
        <v>1</v>
      </c>
      <c r="C4">
        <v>0</v>
      </c>
      <c r="D4">
        <v>0</v>
      </c>
      <c r="E4">
        <f t="shared" ref="E4:F19" si="0">J3</f>
        <v>0.3</v>
      </c>
      <c r="F4">
        <f t="shared" si="0"/>
        <v>0</v>
      </c>
      <c r="G4">
        <f t="shared" ref="G4:G21" si="1">B4*E4+C4*F4+L4</f>
        <v>0.89999999999999991</v>
      </c>
      <c r="H4">
        <f t="shared" ref="H4:H21" si="2">IF(G4&gt;N4, 1, 0)</f>
        <v>1</v>
      </c>
      <c r="I4">
        <f t="shared" ref="I4:I21" si="3">D4-H4</f>
        <v>-1</v>
      </c>
      <c r="J4">
        <f t="shared" ref="J4:J21" si="4">E4+M4*I4*B4</f>
        <v>-0.10000000000000003</v>
      </c>
      <c r="K4">
        <f t="shared" ref="K4:K21" si="5">F4+M4*I4*C4</f>
        <v>0</v>
      </c>
      <c r="L4" s="1">
        <v>0.6</v>
      </c>
      <c r="M4" s="1">
        <v>0.4</v>
      </c>
      <c r="N4" s="3">
        <v>0.5</v>
      </c>
    </row>
    <row r="5" spans="1:14" x14ac:dyDescent="0.3">
      <c r="A5" s="20"/>
      <c r="B5" s="4">
        <v>1</v>
      </c>
      <c r="C5" s="4">
        <v>1</v>
      </c>
      <c r="D5" s="4">
        <v>0</v>
      </c>
      <c r="E5" s="4">
        <f t="shared" si="0"/>
        <v>-0.10000000000000003</v>
      </c>
      <c r="F5" s="4">
        <f t="shared" si="0"/>
        <v>0</v>
      </c>
      <c r="G5" s="4">
        <f t="shared" si="1"/>
        <v>0.49999999999999994</v>
      </c>
      <c r="H5" s="4">
        <f t="shared" si="2"/>
        <v>0</v>
      </c>
      <c r="I5" s="4">
        <f t="shared" si="3"/>
        <v>0</v>
      </c>
      <c r="J5" s="4">
        <f t="shared" si="4"/>
        <v>-0.10000000000000003</v>
      </c>
      <c r="K5" s="4">
        <f t="shared" si="5"/>
        <v>0</v>
      </c>
      <c r="L5" s="1">
        <v>0.6</v>
      </c>
      <c r="M5" s="1">
        <v>0.4</v>
      </c>
      <c r="N5" s="5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1</v>
      </c>
      <c r="E6" s="1">
        <f t="shared" si="0"/>
        <v>-0.10000000000000003</v>
      </c>
      <c r="F6" s="1">
        <f t="shared" si="0"/>
        <v>0</v>
      </c>
      <c r="G6" s="1">
        <f t="shared" si="1"/>
        <v>0.6</v>
      </c>
      <c r="H6" s="1">
        <f t="shared" si="2"/>
        <v>1</v>
      </c>
      <c r="I6" s="1">
        <f t="shared" si="3"/>
        <v>0</v>
      </c>
      <c r="J6" s="1">
        <f t="shared" si="4"/>
        <v>-0.10000000000000003</v>
      </c>
      <c r="K6" s="1">
        <f t="shared" si="5"/>
        <v>0</v>
      </c>
      <c r="L6" s="1">
        <v>0.6</v>
      </c>
      <c r="M6" s="1">
        <v>0.4</v>
      </c>
      <c r="N6" s="2">
        <v>0.5</v>
      </c>
    </row>
    <row r="7" spans="1:14" x14ac:dyDescent="0.3">
      <c r="A7" s="19"/>
      <c r="B7">
        <v>0</v>
      </c>
      <c r="C7">
        <v>1</v>
      </c>
      <c r="D7">
        <v>0</v>
      </c>
      <c r="E7">
        <f t="shared" si="0"/>
        <v>-0.10000000000000003</v>
      </c>
      <c r="F7">
        <f t="shared" si="0"/>
        <v>0</v>
      </c>
      <c r="G7">
        <f t="shared" si="1"/>
        <v>0.6</v>
      </c>
      <c r="H7">
        <f t="shared" si="2"/>
        <v>1</v>
      </c>
      <c r="I7">
        <f t="shared" si="3"/>
        <v>-1</v>
      </c>
      <c r="J7">
        <f t="shared" si="4"/>
        <v>-0.10000000000000003</v>
      </c>
      <c r="K7">
        <f t="shared" si="5"/>
        <v>-0.4</v>
      </c>
      <c r="L7" s="1">
        <v>0.6</v>
      </c>
      <c r="M7" s="1">
        <v>0.4</v>
      </c>
      <c r="N7" s="3">
        <v>0.5</v>
      </c>
    </row>
    <row r="8" spans="1:14" x14ac:dyDescent="0.3">
      <c r="A8" s="19"/>
      <c r="B8">
        <v>1</v>
      </c>
      <c r="C8">
        <v>0</v>
      </c>
      <c r="D8">
        <v>0</v>
      </c>
      <c r="E8">
        <f t="shared" si="0"/>
        <v>-0.10000000000000003</v>
      </c>
      <c r="F8">
        <f t="shared" si="0"/>
        <v>-0.4</v>
      </c>
      <c r="G8">
        <f t="shared" si="1"/>
        <v>0.49999999999999994</v>
      </c>
      <c r="H8">
        <f t="shared" si="2"/>
        <v>0</v>
      </c>
      <c r="I8">
        <f t="shared" si="3"/>
        <v>0</v>
      </c>
      <c r="J8">
        <f t="shared" si="4"/>
        <v>-0.10000000000000003</v>
      </c>
      <c r="K8">
        <f t="shared" si="5"/>
        <v>-0.4</v>
      </c>
      <c r="L8" s="1">
        <v>0.6</v>
      </c>
      <c r="M8" s="1">
        <v>0.4</v>
      </c>
      <c r="N8" s="3">
        <v>0.5</v>
      </c>
    </row>
    <row r="9" spans="1:14" x14ac:dyDescent="0.3">
      <c r="A9" s="20"/>
      <c r="B9" s="4">
        <v>1</v>
      </c>
      <c r="C9" s="4">
        <v>1</v>
      </c>
      <c r="D9" s="4">
        <v>0</v>
      </c>
      <c r="E9" s="4">
        <f t="shared" si="0"/>
        <v>-0.10000000000000003</v>
      </c>
      <c r="F9" s="4">
        <f t="shared" si="0"/>
        <v>-0.4</v>
      </c>
      <c r="G9" s="4">
        <f t="shared" si="1"/>
        <v>9.9999999999999978E-2</v>
      </c>
      <c r="H9" s="4">
        <f t="shared" si="2"/>
        <v>0</v>
      </c>
      <c r="I9" s="4">
        <f t="shared" si="3"/>
        <v>0</v>
      </c>
      <c r="J9" s="4">
        <f t="shared" si="4"/>
        <v>-0.10000000000000003</v>
      </c>
      <c r="K9" s="4">
        <f t="shared" si="5"/>
        <v>-0.4</v>
      </c>
      <c r="L9" s="1">
        <v>0.6</v>
      </c>
      <c r="M9" s="1">
        <v>0.4</v>
      </c>
      <c r="N9" s="5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1</v>
      </c>
      <c r="E10" s="1">
        <f t="shared" si="0"/>
        <v>-0.10000000000000003</v>
      </c>
      <c r="F10" s="1">
        <f t="shared" si="0"/>
        <v>-0.4</v>
      </c>
      <c r="G10" s="1">
        <f t="shared" si="1"/>
        <v>0.6</v>
      </c>
      <c r="H10" s="1">
        <f t="shared" si="2"/>
        <v>1</v>
      </c>
      <c r="I10" s="1">
        <f t="shared" si="3"/>
        <v>0</v>
      </c>
      <c r="J10" s="1">
        <f t="shared" si="4"/>
        <v>-0.10000000000000003</v>
      </c>
      <c r="K10" s="1">
        <f t="shared" si="5"/>
        <v>-0.4</v>
      </c>
      <c r="L10" s="1">
        <v>0.6</v>
      </c>
      <c r="M10" s="1">
        <v>0.4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0</v>
      </c>
      <c r="E11">
        <f t="shared" si="0"/>
        <v>-0.10000000000000003</v>
      </c>
      <c r="F11">
        <f t="shared" si="0"/>
        <v>-0.4</v>
      </c>
      <c r="G11">
        <f t="shared" si="1"/>
        <v>0.19999999999999996</v>
      </c>
      <c r="H11">
        <f t="shared" si="2"/>
        <v>0</v>
      </c>
      <c r="I11">
        <f t="shared" si="3"/>
        <v>0</v>
      </c>
      <c r="J11">
        <f t="shared" si="4"/>
        <v>-0.10000000000000003</v>
      </c>
      <c r="K11">
        <f t="shared" si="5"/>
        <v>-0.4</v>
      </c>
      <c r="L11" s="1">
        <v>0.6</v>
      </c>
      <c r="M11" s="1">
        <v>0.4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0</v>
      </c>
      <c r="E12">
        <f t="shared" si="0"/>
        <v>-0.10000000000000003</v>
      </c>
      <c r="F12">
        <f t="shared" si="0"/>
        <v>-0.4</v>
      </c>
      <c r="G12">
        <f t="shared" si="1"/>
        <v>0.49999999999999994</v>
      </c>
      <c r="H12">
        <f t="shared" si="2"/>
        <v>0</v>
      </c>
      <c r="I12">
        <f t="shared" si="3"/>
        <v>0</v>
      </c>
      <c r="J12">
        <f t="shared" si="4"/>
        <v>-0.10000000000000003</v>
      </c>
      <c r="K12">
        <f t="shared" si="5"/>
        <v>-0.4</v>
      </c>
      <c r="L12" s="1">
        <v>0.6</v>
      </c>
      <c r="M12" s="1">
        <v>0.4</v>
      </c>
      <c r="N12" s="3">
        <v>0.5</v>
      </c>
    </row>
    <row r="13" spans="1:14" x14ac:dyDescent="0.3">
      <c r="A13" s="20"/>
      <c r="B13" s="4">
        <v>1</v>
      </c>
      <c r="C13" s="4">
        <v>1</v>
      </c>
      <c r="D13" s="4">
        <v>0</v>
      </c>
      <c r="E13" s="4">
        <f t="shared" si="0"/>
        <v>-0.10000000000000003</v>
      </c>
      <c r="F13" s="4">
        <f t="shared" si="0"/>
        <v>-0.4</v>
      </c>
      <c r="G13" s="4">
        <f t="shared" si="1"/>
        <v>9.9999999999999978E-2</v>
      </c>
      <c r="H13" s="4">
        <f t="shared" si="2"/>
        <v>0</v>
      </c>
      <c r="I13" s="4">
        <f t="shared" si="3"/>
        <v>0</v>
      </c>
      <c r="J13" s="4">
        <f t="shared" si="4"/>
        <v>-0.10000000000000003</v>
      </c>
      <c r="K13" s="4">
        <f t="shared" si="5"/>
        <v>-0.4</v>
      </c>
      <c r="L13" s="1">
        <v>0.6</v>
      </c>
      <c r="M13" s="1">
        <v>0.4</v>
      </c>
      <c r="N13" s="5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1</v>
      </c>
      <c r="E14" s="1">
        <f t="shared" si="0"/>
        <v>-0.10000000000000003</v>
      </c>
      <c r="F14" s="1">
        <f t="shared" si="0"/>
        <v>-0.4</v>
      </c>
      <c r="G14" s="1">
        <f t="shared" si="1"/>
        <v>0.6</v>
      </c>
      <c r="H14" s="1">
        <f t="shared" si="2"/>
        <v>1</v>
      </c>
      <c r="I14" s="1">
        <f t="shared" si="3"/>
        <v>0</v>
      </c>
      <c r="J14" s="1">
        <f t="shared" si="4"/>
        <v>-0.10000000000000003</v>
      </c>
      <c r="K14" s="1">
        <f t="shared" si="5"/>
        <v>-0.4</v>
      </c>
      <c r="L14" s="1">
        <v>0.6</v>
      </c>
      <c r="M14" s="1">
        <v>0.4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0</v>
      </c>
      <c r="E15">
        <f t="shared" si="0"/>
        <v>-0.10000000000000003</v>
      </c>
      <c r="F15">
        <f t="shared" si="0"/>
        <v>-0.4</v>
      </c>
      <c r="G15">
        <f t="shared" si="1"/>
        <v>0.19999999999999996</v>
      </c>
      <c r="H15">
        <f t="shared" si="2"/>
        <v>0</v>
      </c>
      <c r="I15">
        <f t="shared" si="3"/>
        <v>0</v>
      </c>
      <c r="J15">
        <f t="shared" si="4"/>
        <v>-0.10000000000000003</v>
      </c>
      <c r="K15">
        <f t="shared" si="5"/>
        <v>-0.4</v>
      </c>
      <c r="L15" s="1">
        <v>0.6</v>
      </c>
      <c r="M15" s="1">
        <v>0.4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0</v>
      </c>
      <c r="E16">
        <f t="shared" si="0"/>
        <v>-0.10000000000000003</v>
      </c>
      <c r="F16">
        <f t="shared" si="0"/>
        <v>-0.4</v>
      </c>
      <c r="G16">
        <f t="shared" si="1"/>
        <v>0.49999999999999994</v>
      </c>
      <c r="H16">
        <f t="shared" si="2"/>
        <v>0</v>
      </c>
      <c r="I16">
        <f t="shared" si="3"/>
        <v>0</v>
      </c>
      <c r="J16">
        <f t="shared" si="4"/>
        <v>-0.10000000000000003</v>
      </c>
      <c r="K16">
        <f t="shared" si="5"/>
        <v>-0.4</v>
      </c>
      <c r="L16" s="1">
        <v>0.6</v>
      </c>
      <c r="M16" s="1">
        <v>0.4</v>
      </c>
      <c r="N16" s="3">
        <v>0.5</v>
      </c>
    </row>
    <row r="17" spans="1:14" x14ac:dyDescent="0.3">
      <c r="A17" s="19"/>
      <c r="B17">
        <v>1</v>
      </c>
      <c r="C17">
        <v>1</v>
      </c>
      <c r="D17">
        <v>0</v>
      </c>
      <c r="E17">
        <f t="shared" si="0"/>
        <v>-0.10000000000000003</v>
      </c>
      <c r="F17">
        <f t="shared" si="0"/>
        <v>-0.4</v>
      </c>
      <c r="G17">
        <f t="shared" si="1"/>
        <v>9.9999999999999978E-2</v>
      </c>
      <c r="H17">
        <f t="shared" si="2"/>
        <v>0</v>
      </c>
      <c r="I17">
        <f t="shared" si="3"/>
        <v>0</v>
      </c>
      <c r="J17">
        <f t="shared" si="4"/>
        <v>-0.10000000000000003</v>
      </c>
      <c r="K17">
        <f t="shared" si="5"/>
        <v>-0.4</v>
      </c>
      <c r="L17" s="1">
        <v>0.6</v>
      </c>
      <c r="M17" s="1">
        <v>0.4</v>
      </c>
      <c r="N17" s="3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1</v>
      </c>
      <c r="E18" s="1">
        <f t="shared" si="0"/>
        <v>-0.10000000000000003</v>
      </c>
      <c r="F18" s="1">
        <f t="shared" si="0"/>
        <v>-0.4</v>
      </c>
      <c r="G18" s="1">
        <f t="shared" si="1"/>
        <v>0.6</v>
      </c>
      <c r="H18" s="1">
        <f t="shared" si="2"/>
        <v>1</v>
      </c>
      <c r="I18" s="1">
        <f t="shared" si="3"/>
        <v>0</v>
      </c>
      <c r="J18" s="1">
        <f t="shared" si="4"/>
        <v>-0.10000000000000003</v>
      </c>
      <c r="K18" s="1">
        <f t="shared" si="5"/>
        <v>-0.4</v>
      </c>
      <c r="L18" s="1">
        <v>0.6</v>
      </c>
      <c r="M18" s="1">
        <v>0.4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0</v>
      </c>
      <c r="E19">
        <f t="shared" si="0"/>
        <v>-0.10000000000000003</v>
      </c>
      <c r="F19">
        <f t="shared" si="0"/>
        <v>-0.4</v>
      </c>
      <c r="G19">
        <f t="shared" si="1"/>
        <v>0.19999999999999996</v>
      </c>
      <c r="H19">
        <f t="shared" si="2"/>
        <v>0</v>
      </c>
      <c r="I19">
        <f t="shared" si="3"/>
        <v>0</v>
      </c>
      <c r="J19">
        <f t="shared" si="4"/>
        <v>-0.10000000000000003</v>
      </c>
      <c r="K19">
        <f t="shared" si="5"/>
        <v>-0.4</v>
      </c>
      <c r="L19" s="1">
        <v>0.6</v>
      </c>
      <c r="M19" s="1">
        <v>0.4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0</v>
      </c>
      <c r="E20">
        <f t="shared" ref="E20:F21" si="6">J19</f>
        <v>-0.10000000000000003</v>
      </c>
      <c r="F20">
        <f t="shared" si="6"/>
        <v>-0.4</v>
      </c>
      <c r="G20">
        <f t="shared" si="1"/>
        <v>0.49999999999999994</v>
      </c>
      <c r="H20">
        <f t="shared" si="2"/>
        <v>0</v>
      </c>
      <c r="I20">
        <f t="shared" si="3"/>
        <v>0</v>
      </c>
      <c r="J20">
        <f t="shared" si="4"/>
        <v>-0.10000000000000003</v>
      </c>
      <c r="K20">
        <f t="shared" si="5"/>
        <v>-0.4</v>
      </c>
      <c r="L20" s="1">
        <v>0.6</v>
      </c>
      <c r="M20" s="1">
        <v>0.4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0</v>
      </c>
      <c r="E21" s="4">
        <f t="shared" si="6"/>
        <v>-0.10000000000000003</v>
      </c>
      <c r="F21" s="4">
        <f t="shared" si="6"/>
        <v>-0.4</v>
      </c>
      <c r="G21" s="4">
        <f t="shared" si="1"/>
        <v>9.9999999999999978E-2</v>
      </c>
      <c r="H21" s="4">
        <f t="shared" si="2"/>
        <v>0</v>
      </c>
      <c r="I21" s="4">
        <f t="shared" si="3"/>
        <v>0</v>
      </c>
      <c r="J21" s="4">
        <f t="shared" si="4"/>
        <v>-0.10000000000000003</v>
      </c>
      <c r="K21" s="4">
        <f t="shared" si="5"/>
        <v>-0.4</v>
      </c>
      <c r="L21" s="1">
        <v>0.6</v>
      </c>
      <c r="M21" s="1">
        <v>0.4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 Gate Training</vt:lpstr>
      <vt:lpstr>3 IP OR Gate Training</vt:lpstr>
      <vt:lpstr>AND Gate Training</vt:lpstr>
      <vt:lpstr>3 IP AND Gate Training</vt:lpstr>
      <vt:lpstr>NAND Gate Training</vt:lpstr>
      <vt:lpstr>3 IP NAND Gate Training</vt:lpstr>
      <vt:lpstr>NOR Gate Training</vt:lpstr>
      <vt:lpstr>3 IP NOR Gate Training</vt:lpstr>
      <vt:lpstr>XOR Gate Training</vt:lpstr>
      <vt:lpstr>XNOR Gate Training</vt:lpstr>
      <vt:lpstr>Lab1Ex1(a)</vt:lpstr>
      <vt:lpstr>Lab1Ex1(b)</vt:lpstr>
      <vt:lpstr>Lab1Ex1(c)</vt:lpstr>
      <vt:lpstr>Lab1Ex1(d)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Hp</cp:lastModifiedBy>
  <dcterms:created xsi:type="dcterms:W3CDTF">2026-08-25T06:01:49Z</dcterms:created>
  <dcterms:modified xsi:type="dcterms:W3CDTF">2026-09-22T04:40:14Z</dcterms:modified>
</cp:coreProperties>
</file>